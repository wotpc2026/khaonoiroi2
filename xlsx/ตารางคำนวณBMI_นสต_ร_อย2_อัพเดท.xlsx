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honoi_59\OneDrive\Desktop\งานธุรการ๖๓\"/>
    </mc:Choice>
  </mc:AlternateContent>
  <xr:revisionPtr revIDLastSave="0" documentId="13_ncr:1_{E436B125-F13E-474A-AB2C-5DE66339CA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MI ณ วันที่ 6 และ 20 เดือน 8" sheetId="1" r:id="rId1"/>
    <sheet name="BMI เปล่า" sheetId="4" r:id="rId2"/>
    <sheet name="BMI เปล่า 2" sheetId="3" r:id="rId3"/>
  </sheets>
  <definedNames>
    <definedName name="_xlnm.Print_Titles" localSheetId="0">'BMI ณ วันที่ 6 และ 20 เดือน 8'!$1:$3</definedName>
    <definedName name="_xlnm.Print_Titles" localSheetId="1">'BMI เปล่า'!$1:$3</definedName>
    <definedName name="_xlnm.Print_Titles" localSheetId="2">'BMI เปล่า 2'!$1:$3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0" i="4" l="1"/>
  <c r="J230" i="4" s="1"/>
  <c r="F230" i="4"/>
  <c r="G230" i="4" s="1"/>
  <c r="I229" i="4"/>
  <c r="J229" i="4" s="1"/>
  <c r="F229" i="4"/>
  <c r="G229" i="4" s="1"/>
  <c r="I228" i="4"/>
  <c r="J228" i="4" s="1"/>
  <c r="F228" i="4"/>
  <c r="G228" i="4" s="1"/>
  <c r="I227" i="4"/>
  <c r="J227" i="4" s="1"/>
  <c r="F227" i="4"/>
  <c r="G227" i="4" s="1"/>
  <c r="I226" i="4"/>
  <c r="J226" i="4" s="1"/>
  <c r="F226" i="4"/>
  <c r="G226" i="4" s="1"/>
  <c r="I225" i="4"/>
  <c r="J225" i="4" s="1"/>
  <c r="F225" i="4"/>
  <c r="G225" i="4" s="1"/>
  <c r="I224" i="4"/>
  <c r="J224" i="4" s="1"/>
  <c r="F224" i="4"/>
  <c r="G224" i="4" s="1"/>
  <c r="I223" i="4"/>
  <c r="J223" i="4" s="1"/>
  <c r="F223" i="4"/>
  <c r="G223" i="4" s="1"/>
  <c r="I222" i="4"/>
  <c r="J222" i="4" s="1"/>
  <c r="F222" i="4"/>
  <c r="G222" i="4" s="1"/>
  <c r="I221" i="4"/>
  <c r="J221" i="4" s="1"/>
  <c r="F221" i="4"/>
  <c r="G221" i="4" s="1"/>
  <c r="I219" i="4"/>
  <c r="J219" i="4" s="1"/>
  <c r="F219" i="4"/>
  <c r="G219" i="4" s="1"/>
  <c r="I218" i="4"/>
  <c r="J218" i="4" s="1"/>
  <c r="F218" i="4"/>
  <c r="G218" i="4" s="1"/>
  <c r="I217" i="4"/>
  <c r="J217" i="4" s="1"/>
  <c r="F217" i="4"/>
  <c r="G217" i="4" s="1"/>
  <c r="I216" i="4"/>
  <c r="J216" i="4" s="1"/>
  <c r="F216" i="4"/>
  <c r="G216" i="4" s="1"/>
  <c r="I215" i="4"/>
  <c r="J215" i="4" s="1"/>
  <c r="F215" i="4"/>
  <c r="G215" i="4" s="1"/>
  <c r="I214" i="4"/>
  <c r="J214" i="4" s="1"/>
  <c r="F214" i="4"/>
  <c r="G214" i="4" s="1"/>
  <c r="I213" i="4"/>
  <c r="J213" i="4" s="1"/>
  <c r="F213" i="4"/>
  <c r="G213" i="4" s="1"/>
  <c r="I212" i="4"/>
  <c r="J212" i="4" s="1"/>
  <c r="F212" i="4"/>
  <c r="G212" i="4" s="1"/>
  <c r="I211" i="4"/>
  <c r="J211" i="4" s="1"/>
  <c r="F211" i="4"/>
  <c r="G211" i="4" s="1"/>
  <c r="I210" i="4"/>
  <c r="J210" i="4" s="1"/>
  <c r="F210" i="4"/>
  <c r="G210" i="4" s="1"/>
  <c r="I208" i="4"/>
  <c r="J208" i="4" s="1"/>
  <c r="F208" i="4"/>
  <c r="G208" i="4" s="1"/>
  <c r="I207" i="4"/>
  <c r="J207" i="4" s="1"/>
  <c r="F207" i="4"/>
  <c r="G207" i="4" s="1"/>
  <c r="I206" i="4"/>
  <c r="J206" i="4" s="1"/>
  <c r="F206" i="4"/>
  <c r="G206" i="4" s="1"/>
  <c r="I205" i="4"/>
  <c r="J205" i="4" s="1"/>
  <c r="F205" i="4"/>
  <c r="G205" i="4" s="1"/>
  <c r="I204" i="4"/>
  <c r="J204" i="4" s="1"/>
  <c r="F204" i="4"/>
  <c r="G204" i="4" s="1"/>
  <c r="I203" i="4"/>
  <c r="J203" i="4" s="1"/>
  <c r="F203" i="4"/>
  <c r="G203" i="4" s="1"/>
  <c r="I202" i="4"/>
  <c r="J202" i="4" s="1"/>
  <c r="F202" i="4"/>
  <c r="G202" i="4" s="1"/>
  <c r="I201" i="4"/>
  <c r="J201" i="4" s="1"/>
  <c r="F201" i="4"/>
  <c r="G201" i="4" s="1"/>
  <c r="I200" i="4"/>
  <c r="J200" i="4" s="1"/>
  <c r="F200" i="4"/>
  <c r="G200" i="4" s="1"/>
  <c r="I199" i="4"/>
  <c r="J199" i="4" s="1"/>
  <c r="F199" i="4"/>
  <c r="G199" i="4" s="1"/>
  <c r="I197" i="4"/>
  <c r="J197" i="4" s="1"/>
  <c r="F197" i="4"/>
  <c r="G197" i="4" s="1"/>
  <c r="I196" i="4"/>
  <c r="J196" i="4" s="1"/>
  <c r="F196" i="4"/>
  <c r="G196" i="4" s="1"/>
  <c r="I195" i="4"/>
  <c r="J195" i="4" s="1"/>
  <c r="F195" i="4"/>
  <c r="G195" i="4" s="1"/>
  <c r="I194" i="4"/>
  <c r="J194" i="4" s="1"/>
  <c r="F194" i="4"/>
  <c r="G194" i="4" s="1"/>
  <c r="I193" i="4"/>
  <c r="J193" i="4" s="1"/>
  <c r="F193" i="4"/>
  <c r="G193" i="4" s="1"/>
  <c r="I192" i="4"/>
  <c r="J192" i="4" s="1"/>
  <c r="F192" i="4"/>
  <c r="G192" i="4" s="1"/>
  <c r="I191" i="4"/>
  <c r="J191" i="4" s="1"/>
  <c r="F191" i="4"/>
  <c r="G191" i="4" s="1"/>
  <c r="I190" i="4"/>
  <c r="J190" i="4" s="1"/>
  <c r="F190" i="4"/>
  <c r="G190" i="4" s="1"/>
  <c r="I189" i="4"/>
  <c r="J189" i="4" s="1"/>
  <c r="F189" i="4"/>
  <c r="G189" i="4" s="1"/>
  <c r="I188" i="4"/>
  <c r="J188" i="4" s="1"/>
  <c r="F188" i="4"/>
  <c r="G188" i="4" s="1"/>
  <c r="I186" i="4"/>
  <c r="J186" i="4" s="1"/>
  <c r="F186" i="4"/>
  <c r="G186" i="4" s="1"/>
  <c r="I185" i="4"/>
  <c r="J185" i="4" s="1"/>
  <c r="F185" i="4"/>
  <c r="G185" i="4" s="1"/>
  <c r="I184" i="4"/>
  <c r="J184" i="4" s="1"/>
  <c r="F184" i="4"/>
  <c r="G184" i="4" s="1"/>
  <c r="I183" i="4"/>
  <c r="J183" i="4" s="1"/>
  <c r="F183" i="4"/>
  <c r="G183" i="4" s="1"/>
  <c r="I182" i="4"/>
  <c r="J182" i="4" s="1"/>
  <c r="F182" i="4"/>
  <c r="G182" i="4" s="1"/>
  <c r="I181" i="4"/>
  <c r="J181" i="4" s="1"/>
  <c r="F181" i="4"/>
  <c r="G181" i="4" s="1"/>
  <c r="I180" i="4"/>
  <c r="J180" i="4" s="1"/>
  <c r="F180" i="4"/>
  <c r="G180" i="4" s="1"/>
  <c r="I179" i="4"/>
  <c r="J179" i="4" s="1"/>
  <c r="F179" i="4"/>
  <c r="G179" i="4" s="1"/>
  <c r="I178" i="4"/>
  <c r="J178" i="4" s="1"/>
  <c r="F178" i="4"/>
  <c r="G178" i="4" s="1"/>
  <c r="I177" i="4"/>
  <c r="J177" i="4" s="1"/>
  <c r="F177" i="4"/>
  <c r="G177" i="4" s="1"/>
  <c r="I176" i="4"/>
  <c r="J176" i="4" s="1"/>
  <c r="F176" i="4"/>
  <c r="G176" i="4" s="1"/>
  <c r="I174" i="4"/>
  <c r="J174" i="4" s="1"/>
  <c r="F174" i="4"/>
  <c r="G174" i="4" s="1"/>
  <c r="I173" i="4"/>
  <c r="J173" i="4" s="1"/>
  <c r="F173" i="4"/>
  <c r="G173" i="4" s="1"/>
  <c r="I172" i="4"/>
  <c r="J172" i="4" s="1"/>
  <c r="F172" i="4"/>
  <c r="G172" i="4" s="1"/>
  <c r="I171" i="4"/>
  <c r="J171" i="4" s="1"/>
  <c r="F171" i="4"/>
  <c r="G171" i="4" s="1"/>
  <c r="I170" i="4"/>
  <c r="J170" i="4" s="1"/>
  <c r="F170" i="4"/>
  <c r="G170" i="4" s="1"/>
  <c r="I169" i="4"/>
  <c r="J169" i="4" s="1"/>
  <c r="F169" i="4"/>
  <c r="G169" i="4" s="1"/>
  <c r="I168" i="4"/>
  <c r="J168" i="4" s="1"/>
  <c r="F168" i="4"/>
  <c r="G168" i="4" s="1"/>
  <c r="I167" i="4"/>
  <c r="J167" i="4" s="1"/>
  <c r="F167" i="4"/>
  <c r="G167" i="4" s="1"/>
  <c r="I166" i="4"/>
  <c r="J166" i="4" s="1"/>
  <c r="F166" i="4"/>
  <c r="G166" i="4" s="1"/>
  <c r="I165" i="4"/>
  <c r="J165" i="4" s="1"/>
  <c r="F165" i="4"/>
  <c r="G165" i="4" s="1"/>
  <c r="I164" i="4"/>
  <c r="J164" i="4" s="1"/>
  <c r="F164" i="4"/>
  <c r="G164" i="4" s="1"/>
  <c r="I162" i="4"/>
  <c r="J162" i="4" s="1"/>
  <c r="F162" i="4"/>
  <c r="G162" i="4" s="1"/>
  <c r="I161" i="4"/>
  <c r="J161" i="4" s="1"/>
  <c r="F161" i="4"/>
  <c r="G161" i="4" s="1"/>
  <c r="I160" i="4"/>
  <c r="J160" i="4" s="1"/>
  <c r="F160" i="4"/>
  <c r="G160" i="4" s="1"/>
  <c r="I159" i="4"/>
  <c r="J159" i="4" s="1"/>
  <c r="F159" i="4"/>
  <c r="G159" i="4" s="1"/>
  <c r="I158" i="4"/>
  <c r="J158" i="4" s="1"/>
  <c r="F158" i="4"/>
  <c r="G158" i="4" s="1"/>
  <c r="I157" i="4"/>
  <c r="J157" i="4" s="1"/>
  <c r="F157" i="4"/>
  <c r="G157" i="4" s="1"/>
  <c r="I156" i="4"/>
  <c r="J156" i="4" s="1"/>
  <c r="F156" i="4"/>
  <c r="G156" i="4" s="1"/>
  <c r="I155" i="4"/>
  <c r="J155" i="4" s="1"/>
  <c r="F155" i="4"/>
  <c r="G155" i="4" s="1"/>
  <c r="I154" i="4"/>
  <c r="J154" i="4" s="1"/>
  <c r="F154" i="4"/>
  <c r="G154" i="4" s="1"/>
  <c r="I153" i="4"/>
  <c r="J153" i="4" s="1"/>
  <c r="F153" i="4"/>
  <c r="G153" i="4" s="1"/>
  <c r="I151" i="4"/>
  <c r="J151" i="4" s="1"/>
  <c r="F151" i="4"/>
  <c r="G151" i="4" s="1"/>
  <c r="I150" i="4"/>
  <c r="J150" i="4" s="1"/>
  <c r="F150" i="4"/>
  <c r="G150" i="4" s="1"/>
  <c r="I149" i="4"/>
  <c r="J149" i="4" s="1"/>
  <c r="F149" i="4"/>
  <c r="G149" i="4" s="1"/>
  <c r="I148" i="4"/>
  <c r="J148" i="4" s="1"/>
  <c r="F148" i="4"/>
  <c r="G148" i="4" s="1"/>
  <c r="I147" i="4"/>
  <c r="J147" i="4" s="1"/>
  <c r="F147" i="4"/>
  <c r="G147" i="4" s="1"/>
  <c r="I146" i="4"/>
  <c r="J146" i="4" s="1"/>
  <c r="F146" i="4"/>
  <c r="G146" i="4" s="1"/>
  <c r="I145" i="4"/>
  <c r="J145" i="4" s="1"/>
  <c r="F145" i="4"/>
  <c r="G145" i="4" s="1"/>
  <c r="I144" i="4"/>
  <c r="J144" i="4" s="1"/>
  <c r="F144" i="4"/>
  <c r="G144" i="4" s="1"/>
  <c r="I143" i="4"/>
  <c r="J143" i="4" s="1"/>
  <c r="F143" i="4"/>
  <c r="G143" i="4" s="1"/>
  <c r="I142" i="4"/>
  <c r="J142" i="4" s="1"/>
  <c r="F142" i="4"/>
  <c r="G142" i="4" s="1"/>
  <c r="I140" i="4"/>
  <c r="J140" i="4" s="1"/>
  <c r="F140" i="4"/>
  <c r="G140" i="4" s="1"/>
  <c r="I139" i="4"/>
  <c r="J139" i="4" s="1"/>
  <c r="F139" i="4"/>
  <c r="G139" i="4" s="1"/>
  <c r="I138" i="4"/>
  <c r="J138" i="4" s="1"/>
  <c r="F138" i="4"/>
  <c r="G138" i="4" s="1"/>
  <c r="I137" i="4"/>
  <c r="J137" i="4" s="1"/>
  <c r="F137" i="4"/>
  <c r="G137" i="4" s="1"/>
  <c r="I136" i="4"/>
  <c r="J136" i="4" s="1"/>
  <c r="F136" i="4"/>
  <c r="G136" i="4" s="1"/>
  <c r="I135" i="4"/>
  <c r="J135" i="4" s="1"/>
  <c r="F135" i="4"/>
  <c r="G135" i="4" s="1"/>
  <c r="I134" i="4"/>
  <c r="J134" i="4" s="1"/>
  <c r="F134" i="4"/>
  <c r="G134" i="4" s="1"/>
  <c r="I133" i="4"/>
  <c r="J133" i="4" s="1"/>
  <c r="F133" i="4"/>
  <c r="G133" i="4" s="1"/>
  <c r="I132" i="4"/>
  <c r="J132" i="4" s="1"/>
  <c r="F132" i="4"/>
  <c r="G132" i="4" s="1"/>
  <c r="I131" i="4"/>
  <c r="J131" i="4" s="1"/>
  <c r="F131" i="4"/>
  <c r="G131" i="4" s="1"/>
  <c r="I129" i="4"/>
  <c r="J129" i="4" s="1"/>
  <c r="F129" i="4"/>
  <c r="G129" i="4" s="1"/>
  <c r="I128" i="4"/>
  <c r="J128" i="4" s="1"/>
  <c r="F128" i="4"/>
  <c r="G128" i="4" s="1"/>
  <c r="I127" i="4"/>
  <c r="J127" i="4" s="1"/>
  <c r="F127" i="4"/>
  <c r="G127" i="4" s="1"/>
  <c r="I126" i="4"/>
  <c r="J126" i="4" s="1"/>
  <c r="F126" i="4"/>
  <c r="G126" i="4" s="1"/>
  <c r="I125" i="4"/>
  <c r="J125" i="4" s="1"/>
  <c r="F125" i="4"/>
  <c r="G125" i="4" s="1"/>
  <c r="I124" i="4"/>
  <c r="J124" i="4" s="1"/>
  <c r="F124" i="4"/>
  <c r="G124" i="4" s="1"/>
  <c r="I123" i="4"/>
  <c r="J123" i="4" s="1"/>
  <c r="F123" i="4"/>
  <c r="G123" i="4" s="1"/>
  <c r="I122" i="4"/>
  <c r="J122" i="4" s="1"/>
  <c r="F122" i="4"/>
  <c r="G122" i="4" s="1"/>
  <c r="I121" i="4"/>
  <c r="J121" i="4" s="1"/>
  <c r="F121" i="4"/>
  <c r="G121" i="4" s="1"/>
  <c r="I120" i="4"/>
  <c r="J120" i="4" s="1"/>
  <c r="F120" i="4"/>
  <c r="G120" i="4" s="1"/>
  <c r="I119" i="4"/>
  <c r="J119" i="4" s="1"/>
  <c r="F119" i="4"/>
  <c r="G119" i="4" s="1"/>
  <c r="I117" i="4"/>
  <c r="J117" i="4" s="1"/>
  <c r="F117" i="4"/>
  <c r="G117" i="4" s="1"/>
  <c r="I116" i="4"/>
  <c r="J116" i="4" s="1"/>
  <c r="F116" i="4"/>
  <c r="G116" i="4" s="1"/>
  <c r="I115" i="4"/>
  <c r="J115" i="4" s="1"/>
  <c r="F115" i="4"/>
  <c r="G115" i="4" s="1"/>
  <c r="I114" i="4"/>
  <c r="J114" i="4" s="1"/>
  <c r="F114" i="4"/>
  <c r="G114" i="4" s="1"/>
  <c r="I113" i="4"/>
  <c r="J113" i="4" s="1"/>
  <c r="F113" i="4"/>
  <c r="G113" i="4" s="1"/>
  <c r="I112" i="4"/>
  <c r="J112" i="4" s="1"/>
  <c r="F112" i="4"/>
  <c r="G112" i="4" s="1"/>
  <c r="I111" i="4"/>
  <c r="J111" i="4" s="1"/>
  <c r="F111" i="4"/>
  <c r="G111" i="4" s="1"/>
  <c r="I110" i="4"/>
  <c r="J110" i="4" s="1"/>
  <c r="F110" i="4"/>
  <c r="G110" i="4" s="1"/>
  <c r="I109" i="4"/>
  <c r="J109" i="4" s="1"/>
  <c r="F109" i="4"/>
  <c r="G109" i="4" s="1"/>
  <c r="I108" i="4"/>
  <c r="J108" i="4" s="1"/>
  <c r="F108" i="4"/>
  <c r="G108" i="4" s="1"/>
  <c r="I107" i="4"/>
  <c r="J107" i="4" s="1"/>
  <c r="F107" i="4"/>
  <c r="G107" i="4" s="1"/>
  <c r="I105" i="4"/>
  <c r="J105" i="4" s="1"/>
  <c r="F105" i="4"/>
  <c r="G105" i="4" s="1"/>
  <c r="I104" i="4"/>
  <c r="J104" i="4" s="1"/>
  <c r="F104" i="4"/>
  <c r="G104" i="4" s="1"/>
  <c r="I103" i="4"/>
  <c r="J103" i="4" s="1"/>
  <c r="F103" i="4"/>
  <c r="G103" i="4" s="1"/>
  <c r="I102" i="4"/>
  <c r="J102" i="4" s="1"/>
  <c r="F102" i="4"/>
  <c r="G102" i="4" s="1"/>
  <c r="I101" i="4"/>
  <c r="J101" i="4" s="1"/>
  <c r="F101" i="4"/>
  <c r="G101" i="4" s="1"/>
  <c r="I100" i="4"/>
  <c r="J100" i="4" s="1"/>
  <c r="F100" i="4"/>
  <c r="G100" i="4" s="1"/>
  <c r="I99" i="4"/>
  <c r="J99" i="4" s="1"/>
  <c r="F99" i="4"/>
  <c r="G99" i="4" s="1"/>
  <c r="I98" i="4"/>
  <c r="J98" i="4" s="1"/>
  <c r="F98" i="4"/>
  <c r="G98" i="4" s="1"/>
  <c r="I97" i="4"/>
  <c r="J97" i="4" s="1"/>
  <c r="F97" i="4"/>
  <c r="G97" i="4" s="1"/>
  <c r="I96" i="4"/>
  <c r="J96" i="4" s="1"/>
  <c r="F96" i="4"/>
  <c r="G96" i="4" s="1"/>
  <c r="I93" i="4"/>
  <c r="J93" i="4" s="1"/>
  <c r="F93" i="4"/>
  <c r="G93" i="4" s="1"/>
  <c r="I92" i="4"/>
  <c r="J92" i="4" s="1"/>
  <c r="F92" i="4"/>
  <c r="G92" i="4" s="1"/>
  <c r="I91" i="4"/>
  <c r="J91" i="4" s="1"/>
  <c r="F91" i="4"/>
  <c r="G91" i="4" s="1"/>
  <c r="I90" i="4"/>
  <c r="J90" i="4" s="1"/>
  <c r="F90" i="4"/>
  <c r="G90" i="4" s="1"/>
  <c r="I89" i="4"/>
  <c r="J89" i="4" s="1"/>
  <c r="F89" i="4"/>
  <c r="G89" i="4" s="1"/>
  <c r="I88" i="4"/>
  <c r="J88" i="4" s="1"/>
  <c r="F88" i="4"/>
  <c r="G88" i="4" s="1"/>
  <c r="I87" i="4"/>
  <c r="J87" i="4" s="1"/>
  <c r="F87" i="4"/>
  <c r="G87" i="4" s="1"/>
  <c r="I86" i="4"/>
  <c r="J86" i="4" s="1"/>
  <c r="F86" i="4"/>
  <c r="G86" i="4" s="1"/>
  <c r="I85" i="4"/>
  <c r="J85" i="4" s="1"/>
  <c r="F85" i="4"/>
  <c r="G85" i="4" s="1"/>
  <c r="I83" i="4"/>
  <c r="J83" i="4" s="1"/>
  <c r="F83" i="4"/>
  <c r="G83" i="4" s="1"/>
  <c r="I82" i="4"/>
  <c r="J82" i="4" s="1"/>
  <c r="F82" i="4"/>
  <c r="G82" i="4" s="1"/>
  <c r="I81" i="4"/>
  <c r="J81" i="4" s="1"/>
  <c r="F81" i="4"/>
  <c r="G81" i="4" s="1"/>
  <c r="I80" i="4"/>
  <c r="J80" i="4" s="1"/>
  <c r="F80" i="4"/>
  <c r="G80" i="4" s="1"/>
  <c r="I79" i="4"/>
  <c r="J79" i="4" s="1"/>
  <c r="F79" i="4"/>
  <c r="G79" i="4" s="1"/>
  <c r="I78" i="4"/>
  <c r="J78" i="4" s="1"/>
  <c r="F78" i="4"/>
  <c r="G78" i="4" s="1"/>
  <c r="I77" i="4"/>
  <c r="J77" i="4" s="1"/>
  <c r="F77" i="4"/>
  <c r="G77" i="4" s="1"/>
  <c r="I76" i="4"/>
  <c r="J76" i="4" s="1"/>
  <c r="F76" i="4"/>
  <c r="G76" i="4" s="1"/>
  <c r="I75" i="4"/>
  <c r="J75" i="4" s="1"/>
  <c r="F75" i="4"/>
  <c r="G75" i="4" s="1"/>
  <c r="I74" i="4"/>
  <c r="J74" i="4" s="1"/>
  <c r="F74" i="4"/>
  <c r="G74" i="4" s="1"/>
  <c r="I72" i="4"/>
  <c r="J72" i="4" s="1"/>
  <c r="F72" i="4"/>
  <c r="G72" i="4" s="1"/>
  <c r="I71" i="4"/>
  <c r="J71" i="4" s="1"/>
  <c r="F71" i="4"/>
  <c r="G71" i="4" s="1"/>
  <c r="I70" i="4"/>
  <c r="J70" i="4" s="1"/>
  <c r="F70" i="4"/>
  <c r="G70" i="4" s="1"/>
  <c r="I69" i="4"/>
  <c r="J69" i="4" s="1"/>
  <c r="F69" i="4"/>
  <c r="G69" i="4" s="1"/>
  <c r="I68" i="4"/>
  <c r="J68" i="4" s="1"/>
  <c r="F68" i="4"/>
  <c r="G68" i="4" s="1"/>
  <c r="I67" i="4"/>
  <c r="J67" i="4" s="1"/>
  <c r="F67" i="4"/>
  <c r="G67" i="4" s="1"/>
  <c r="I66" i="4"/>
  <c r="J66" i="4" s="1"/>
  <c r="F66" i="4"/>
  <c r="G66" i="4" s="1"/>
  <c r="I65" i="4"/>
  <c r="J65" i="4" s="1"/>
  <c r="F65" i="4"/>
  <c r="G65" i="4" s="1"/>
  <c r="I64" i="4"/>
  <c r="J64" i="4" s="1"/>
  <c r="F64" i="4"/>
  <c r="G64" i="4" s="1"/>
  <c r="I63" i="4"/>
  <c r="J63" i="4" s="1"/>
  <c r="F63" i="4"/>
  <c r="G63" i="4" s="1"/>
  <c r="I62" i="4"/>
  <c r="J62" i="4" s="1"/>
  <c r="F62" i="4"/>
  <c r="G62" i="4" s="1"/>
  <c r="I60" i="4"/>
  <c r="J60" i="4" s="1"/>
  <c r="F60" i="4"/>
  <c r="G60" i="4" s="1"/>
  <c r="I59" i="4"/>
  <c r="J59" i="4" s="1"/>
  <c r="F59" i="4"/>
  <c r="G59" i="4" s="1"/>
  <c r="I58" i="4"/>
  <c r="J58" i="4" s="1"/>
  <c r="F58" i="4"/>
  <c r="G58" i="4" s="1"/>
  <c r="I57" i="4"/>
  <c r="J57" i="4" s="1"/>
  <c r="F57" i="4"/>
  <c r="G57" i="4" s="1"/>
  <c r="I56" i="4"/>
  <c r="J56" i="4" s="1"/>
  <c r="F56" i="4"/>
  <c r="G56" i="4" s="1"/>
  <c r="I55" i="4"/>
  <c r="J55" i="4" s="1"/>
  <c r="F55" i="4"/>
  <c r="G55" i="4" s="1"/>
  <c r="I54" i="4"/>
  <c r="J54" i="4" s="1"/>
  <c r="F54" i="4"/>
  <c r="G54" i="4" s="1"/>
  <c r="I53" i="4"/>
  <c r="J53" i="4" s="1"/>
  <c r="F53" i="4"/>
  <c r="G53" i="4" s="1"/>
  <c r="I52" i="4"/>
  <c r="J52" i="4" s="1"/>
  <c r="F52" i="4"/>
  <c r="G52" i="4" s="1"/>
  <c r="I51" i="4"/>
  <c r="J51" i="4" s="1"/>
  <c r="F51" i="4"/>
  <c r="G51" i="4" s="1"/>
  <c r="I50" i="4"/>
  <c r="J50" i="4" s="1"/>
  <c r="F50" i="4"/>
  <c r="G50" i="4" s="1"/>
  <c r="I48" i="4"/>
  <c r="J48" i="4" s="1"/>
  <c r="F48" i="4"/>
  <c r="G48" i="4" s="1"/>
  <c r="I47" i="4"/>
  <c r="J47" i="4" s="1"/>
  <c r="F47" i="4"/>
  <c r="G47" i="4" s="1"/>
  <c r="I46" i="4"/>
  <c r="J46" i="4" s="1"/>
  <c r="F46" i="4"/>
  <c r="G46" i="4" s="1"/>
  <c r="I45" i="4"/>
  <c r="J45" i="4" s="1"/>
  <c r="F45" i="4"/>
  <c r="G45" i="4" s="1"/>
  <c r="I44" i="4"/>
  <c r="J44" i="4" s="1"/>
  <c r="F44" i="4"/>
  <c r="G44" i="4" s="1"/>
  <c r="I43" i="4"/>
  <c r="J43" i="4" s="1"/>
  <c r="F43" i="4"/>
  <c r="G43" i="4" s="1"/>
  <c r="I42" i="4"/>
  <c r="J42" i="4" s="1"/>
  <c r="F42" i="4"/>
  <c r="G42" i="4" s="1"/>
  <c r="I41" i="4"/>
  <c r="J41" i="4" s="1"/>
  <c r="F41" i="4"/>
  <c r="G41" i="4" s="1"/>
  <c r="I40" i="4"/>
  <c r="J40" i="4" s="1"/>
  <c r="F40" i="4"/>
  <c r="G40" i="4" s="1"/>
  <c r="I39" i="4"/>
  <c r="J39" i="4" s="1"/>
  <c r="F39" i="4"/>
  <c r="G39" i="4" s="1"/>
  <c r="I37" i="4"/>
  <c r="J37" i="4" s="1"/>
  <c r="F37" i="4"/>
  <c r="G37" i="4" s="1"/>
  <c r="I36" i="4"/>
  <c r="J36" i="4" s="1"/>
  <c r="F36" i="4"/>
  <c r="G36" i="4" s="1"/>
  <c r="I35" i="4"/>
  <c r="J35" i="4" s="1"/>
  <c r="F35" i="4"/>
  <c r="G35" i="4" s="1"/>
  <c r="I34" i="4"/>
  <c r="J34" i="4" s="1"/>
  <c r="F34" i="4"/>
  <c r="G34" i="4" s="1"/>
  <c r="I33" i="4"/>
  <c r="J33" i="4" s="1"/>
  <c r="F33" i="4"/>
  <c r="G33" i="4" s="1"/>
  <c r="I32" i="4"/>
  <c r="J32" i="4" s="1"/>
  <c r="F32" i="4"/>
  <c r="G32" i="4" s="1"/>
  <c r="I31" i="4"/>
  <c r="J31" i="4" s="1"/>
  <c r="F31" i="4"/>
  <c r="G31" i="4" s="1"/>
  <c r="I30" i="4"/>
  <c r="J30" i="4" s="1"/>
  <c r="F30" i="4"/>
  <c r="G30" i="4" s="1"/>
  <c r="I29" i="4"/>
  <c r="J29" i="4" s="1"/>
  <c r="F29" i="4"/>
  <c r="G29" i="4" s="1"/>
  <c r="I28" i="4"/>
  <c r="J28" i="4" s="1"/>
  <c r="F28" i="4"/>
  <c r="G28" i="4" s="1"/>
  <c r="I26" i="4"/>
  <c r="J26" i="4" s="1"/>
  <c r="F26" i="4"/>
  <c r="G26" i="4" s="1"/>
  <c r="I25" i="4"/>
  <c r="J25" i="4" s="1"/>
  <c r="F25" i="4"/>
  <c r="G25" i="4" s="1"/>
  <c r="I24" i="4"/>
  <c r="J24" i="4" s="1"/>
  <c r="F24" i="4"/>
  <c r="G24" i="4" s="1"/>
  <c r="I23" i="4"/>
  <c r="J23" i="4" s="1"/>
  <c r="F23" i="4"/>
  <c r="G23" i="4" s="1"/>
  <c r="I22" i="4"/>
  <c r="J22" i="4" s="1"/>
  <c r="F22" i="4"/>
  <c r="G22" i="4" s="1"/>
  <c r="I21" i="4"/>
  <c r="J21" i="4" s="1"/>
  <c r="F21" i="4"/>
  <c r="G21" i="4" s="1"/>
  <c r="I20" i="4"/>
  <c r="J20" i="4" s="1"/>
  <c r="F20" i="4"/>
  <c r="G20" i="4" s="1"/>
  <c r="I19" i="4"/>
  <c r="J19" i="4" s="1"/>
  <c r="F19" i="4"/>
  <c r="G19" i="4" s="1"/>
  <c r="I18" i="4"/>
  <c r="J18" i="4" s="1"/>
  <c r="F18" i="4"/>
  <c r="G18" i="4" s="1"/>
  <c r="I17" i="4"/>
  <c r="J17" i="4" s="1"/>
  <c r="F17" i="4"/>
  <c r="G17" i="4" s="1"/>
  <c r="I15" i="4"/>
  <c r="J15" i="4" s="1"/>
  <c r="F15" i="4"/>
  <c r="G15" i="4" s="1"/>
  <c r="I14" i="4"/>
  <c r="J14" i="4" s="1"/>
  <c r="F14" i="4"/>
  <c r="G14" i="4" s="1"/>
  <c r="I13" i="4"/>
  <c r="J13" i="4" s="1"/>
  <c r="F13" i="4"/>
  <c r="G13" i="4" s="1"/>
  <c r="I12" i="4"/>
  <c r="J12" i="4" s="1"/>
  <c r="F12" i="4"/>
  <c r="G12" i="4" s="1"/>
  <c r="I11" i="4"/>
  <c r="J11" i="4" s="1"/>
  <c r="G11" i="4"/>
  <c r="F11" i="4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230" i="3"/>
  <c r="J230" i="3" s="1"/>
  <c r="F230" i="3"/>
  <c r="G230" i="3" s="1"/>
  <c r="I229" i="3"/>
  <c r="J229" i="3" s="1"/>
  <c r="F229" i="3"/>
  <c r="G229" i="3" s="1"/>
  <c r="I228" i="3"/>
  <c r="J228" i="3" s="1"/>
  <c r="F228" i="3"/>
  <c r="G228" i="3" s="1"/>
  <c r="I227" i="3"/>
  <c r="J227" i="3" s="1"/>
  <c r="F227" i="3"/>
  <c r="G227" i="3" s="1"/>
  <c r="I226" i="3"/>
  <c r="J226" i="3" s="1"/>
  <c r="F226" i="3"/>
  <c r="G226" i="3" s="1"/>
  <c r="I225" i="3"/>
  <c r="J225" i="3" s="1"/>
  <c r="F225" i="3"/>
  <c r="G225" i="3" s="1"/>
  <c r="I224" i="3"/>
  <c r="J224" i="3" s="1"/>
  <c r="F224" i="3"/>
  <c r="G224" i="3" s="1"/>
  <c r="I223" i="3"/>
  <c r="J223" i="3" s="1"/>
  <c r="F223" i="3"/>
  <c r="G223" i="3" s="1"/>
  <c r="I222" i="3"/>
  <c r="J222" i="3" s="1"/>
  <c r="F222" i="3"/>
  <c r="G222" i="3" s="1"/>
  <c r="I221" i="3"/>
  <c r="J221" i="3" s="1"/>
  <c r="F221" i="3"/>
  <c r="G221" i="3" s="1"/>
  <c r="I219" i="3"/>
  <c r="J219" i="3" s="1"/>
  <c r="F219" i="3"/>
  <c r="G219" i="3" s="1"/>
  <c r="I218" i="3"/>
  <c r="J218" i="3" s="1"/>
  <c r="F218" i="3"/>
  <c r="G218" i="3" s="1"/>
  <c r="I217" i="3"/>
  <c r="J217" i="3" s="1"/>
  <c r="F217" i="3"/>
  <c r="G217" i="3" s="1"/>
  <c r="I216" i="3"/>
  <c r="J216" i="3" s="1"/>
  <c r="F216" i="3"/>
  <c r="G216" i="3" s="1"/>
  <c r="I215" i="3"/>
  <c r="J215" i="3" s="1"/>
  <c r="F215" i="3"/>
  <c r="G215" i="3" s="1"/>
  <c r="I214" i="3"/>
  <c r="J214" i="3" s="1"/>
  <c r="F214" i="3"/>
  <c r="G214" i="3" s="1"/>
  <c r="I213" i="3"/>
  <c r="J213" i="3" s="1"/>
  <c r="F213" i="3"/>
  <c r="G213" i="3" s="1"/>
  <c r="I212" i="3"/>
  <c r="J212" i="3" s="1"/>
  <c r="F212" i="3"/>
  <c r="G212" i="3" s="1"/>
  <c r="I211" i="3"/>
  <c r="J211" i="3" s="1"/>
  <c r="F211" i="3"/>
  <c r="G211" i="3" s="1"/>
  <c r="I210" i="3"/>
  <c r="J210" i="3" s="1"/>
  <c r="F210" i="3"/>
  <c r="G210" i="3" s="1"/>
  <c r="I208" i="3"/>
  <c r="J208" i="3" s="1"/>
  <c r="F208" i="3"/>
  <c r="G208" i="3" s="1"/>
  <c r="I207" i="3"/>
  <c r="J207" i="3" s="1"/>
  <c r="F207" i="3"/>
  <c r="G207" i="3" s="1"/>
  <c r="I206" i="3"/>
  <c r="J206" i="3" s="1"/>
  <c r="F206" i="3"/>
  <c r="G206" i="3" s="1"/>
  <c r="I205" i="3"/>
  <c r="J205" i="3" s="1"/>
  <c r="F205" i="3"/>
  <c r="G205" i="3" s="1"/>
  <c r="I204" i="3"/>
  <c r="J204" i="3" s="1"/>
  <c r="F204" i="3"/>
  <c r="G204" i="3" s="1"/>
  <c r="I203" i="3"/>
  <c r="J203" i="3" s="1"/>
  <c r="F203" i="3"/>
  <c r="G203" i="3" s="1"/>
  <c r="I202" i="3"/>
  <c r="J202" i="3" s="1"/>
  <c r="F202" i="3"/>
  <c r="G202" i="3" s="1"/>
  <c r="I201" i="3"/>
  <c r="J201" i="3" s="1"/>
  <c r="F201" i="3"/>
  <c r="G201" i="3" s="1"/>
  <c r="I200" i="3"/>
  <c r="J200" i="3" s="1"/>
  <c r="F200" i="3"/>
  <c r="G200" i="3" s="1"/>
  <c r="I199" i="3"/>
  <c r="J199" i="3" s="1"/>
  <c r="F199" i="3"/>
  <c r="G199" i="3" s="1"/>
  <c r="I197" i="3"/>
  <c r="J197" i="3" s="1"/>
  <c r="F197" i="3"/>
  <c r="G197" i="3" s="1"/>
  <c r="I196" i="3"/>
  <c r="J196" i="3" s="1"/>
  <c r="F196" i="3"/>
  <c r="G196" i="3" s="1"/>
  <c r="I195" i="3"/>
  <c r="J195" i="3" s="1"/>
  <c r="F195" i="3"/>
  <c r="G195" i="3" s="1"/>
  <c r="I194" i="3"/>
  <c r="J194" i="3" s="1"/>
  <c r="F194" i="3"/>
  <c r="G194" i="3" s="1"/>
  <c r="J193" i="3"/>
  <c r="I193" i="3"/>
  <c r="F193" i="3"/>
  <c r="G193" i="3" s="1"/>
  <c r="I192" i="3"/>
  <c r="J192" i="3" s="1"/>
  <c r="F192" i="3"/>
  <c r="G192" i="3" s="1"/>
  <c r="I191" i="3"/>
  <c r="J191" i="3" s="1"/>
  <c r="F191" i="3"/>
  <c r="G191" i="3" s="1"/>
  <c r="I190" i="3"/>
  <c r="J190" i="3" s="1"/>
  <c r="F190" i="3"/>
  <c r="G190" i="3" s="1"/>
  <c r="I189" i="3"/>
  <c r="J189" i="3" s="1"/>
  <c r="F189" i="3"/>
  <c r="G189" i="3" s="1"/>
  <c r="I188" i="3"/>
  <c r="J188" i="3" s="1"/>
  <c r="F188" i="3"/>
  <c r="G188" i="3" s="1"/>
  <c r="I186" i="3"/>
  <c r="J186" i="3" s="1"/>
  <c r="F186" i="3"/>
  <c r="G186" i="3" s="1"/>
  <c r="I185" i="3"/>
  <c r="J185" i="3" s="1"/>
  <c r="F185" i="3"/>
  <c r="G185" i="3" s="1"/>
  <c r="I184" i="3"/>
  <c r="J184" i="3" s="1"/>
  <c r="F184" i="3"/>
  <c r="G184" i="3" s="1"/>
  <c r="I183" i="3"/>
  <c r="J183" i="3" s="1"/>
  <c r="F183" i="3"/>
  <c r="G183" i="3" s="1"/>
  <c r="I182" i="3"/>
  <c r="J182" i="3" s="1"/>
  <c r="F182" i="3"/>
  <c r="G182" i="3" s="1"/>
  <c r="I181" i="3"/>
  <c r="J181" i="3" s="1"/>
  <c r="F181" i="3"/>
  <c r="G181" i="3" s="1"/>
  <c r="I180" i="3"/>
  <c r="J180" i="3" s="1"/>
  <c r="F180" i="3"/>
  <c r="G180" i="3" s="1"/>
  <c r="I179" i="3"/>
  <c r="J179" i="3" s="1"/>
  <c r="F179" i="3"/>
  <c r="G179" i="3" s="1"/>
  <c r="I178" i="3"/>
  <c r="J178" i="3" s="1"/>
  <c r="F178" i="3"/>
  <c r="G178" i="3" s="1"/>
  <c r="I177" i="3"/>
  <c r="J177" i="3" s="1"/>
  <c r="F177" i="3"/>
  <c r="G177" i="3" s="1"/>
  <c r="I176" i="3"/>
  <c r="J176" i="3" s="1"/>
  <c r="F176" i="3"/>
  <c r="G176" i="3" s="1"/>
  <c r="I174" i="3"/>
  <c r="J174" i="3" s="1"/>
  <c r="F174" i="3"/>
  <c r="G174" i="3" s="1"/>
  <c r="I173" i="3"/>
  <c r="J173" i="3" s="1"/>
  <c r="F173" i="3"/>
  <c r="G173" i="3" s="1"/>
  <c r="I172" i="3"/>
  <c r="J172" i="3" s="1"/>
  <c r="F172" i="3"/>
  <c r="G172" i="3" s="1"/>
  <c r="I171" i="3"/>
  <c r="J171" i="3" s="1"/>
  <c r="F171" i="3"/>
  <c r="G171" i="3" s="1"/>
  <c r="I170" i="3"/>
  <c r="J170" i="3" s="1"/>
  <c r="F170" i="3"/>
  <c r="G170" i="3" s="1"/>
  <c r="I169" i="3"/>
  <c r="J169" i="3" s="1"/>
  <c r="F169" i="3"/>
  <c r="G169" i="3" s="1"/>
  <c r="I168" i="3"/>
  <c r="J168" i="3" s="1"/>
  <c r="F168" i="3"/>
  <c r="G168" i="3" s="1"/>
  <c r="I167" i="3"/>
  <c r="J167" i="3" s="1"/>
  <c r="F167" i="3"/>
  <c r="G167" i="3" s="1"/>
  <c r="I166" i="3"/>
  <c r="J166" i="3" s="1"/>
  <c r="F166" i="3"/>
  <c r="G166" i="3" s="1"/>
  <c r="I165" i="3"/>
  <c r="J165" i="3" s="1"/>
  <c r="F165" i="3"/>
  <c r="G165" i="3" s="1"/>
  <c r="I164" i="3"/>
  <c r="J164" i="3" s="1"/>
  <c r="F164" i="3"/>
  <c r="G164" i="3" s="1"/>
  <c r="I162" i="3"/>
  <c r="J162" i="3" s="1"/>
  <c r="F162" i="3"/>
  <c r="G162" i="3" s="1"/>
  <c r="I161" i="3"/>
  <c r="J161" i="3" s="1"/>
  <c r="F161" i="3"/>
  <c r="G161" i="3" s="1"/>
  <c r="I160" i="3"/>
  <c r="J160" i="3" s="1"/>
  <c r="F160" i="3"/>
  <c r="G160" i="3" s="1"/>
  <c r="I159" i="3"/>
  <c r="J159" i="3" s="1"/>
  <c r="F159" i="3"/>
  <c r="G159" i="3" s="1"/>
  <c r="I158" i="3"/>
  <c r="J158" i="3" s="1"/>
  <c r="F158" i="3"/>
  <c r="G158" i="3" s="1"/>
  <c r="I157" i="3"/>
  <c r="J157" i="3" s="1"/>
  <c r="F157" i="3"/>
  <c r="G157" i="3" s="1"/>
  <c r="I156" i="3"/>
  <c r="J156" i="3" s="1"/>
  <c r="F156" i="3"/>
  <c r="G156" i="3" s="1"/>
  <c r="I155" i="3"/>
  <c r="J155" i="3" s="1"/>
  <c r="F155" i="3"/>
  <c r="G155" i="3" s="1"/>
  <c r="I154" i="3"/>
  <c r="J154" i="3" s="1"/>
  <c r="F154" i="3"/>
  <c r="G154" i="3" s="1"/>
  <c r="I153" i="3"/>
  <c r="J153" i="3" s="1"/>
  <c r="F153" i="3"/>
  <c r="G153" i="3" s="1"/>
  <c r="I151" i="3"/>
  <c r="J151" i="3" s="1"/>
  <c r="F151" i="3"/>
  <c r="G151" i="3" s="1"/>
  <c r="I150" i="3"/>
  <c r="J150" i="3" s="1"/>
  <c r="F150" i="3"/>
  <c r="G150" i="3" s="1"/>
  <c r="I149" i="3"/>
  <c r="J149" i="3" s="1"/>
  <c r="F149" i="3"/>
  <c r="G149" i="3" s="1"/>
  <c r="I148" i="3"/>
  <c r="J148" i="3" s="1"/>
  <c r="F148" i="3"/>
  <c r="G148" i="3" s="1"/>
  <c r="I147" i="3"/>
  <c r="J147" i="3" s="1"/>
  <c r="F147" i="3"/>
  <c r="G147" i="3" s="1"/>
  <c r="I146" i="3"/>
  <c r="J146" i="3" s="1"/>
  <c r="F146" i="3"/>
  <c r="G146" i="3" s="1"/>
  <c r="I145" i="3"/>
  <c r="J145" i="3" s="1"/>
  <c r="F145" i="3"/>
  <c r="G145" i="3" s="1"/>
  <c r="I144" i="3"/>
  <c r="J144" i="3" s="1"/>
  <c r="F144" i="3"/>
  <c r="G144" i="3" s="1"/>
  <c r="I143" i="3"/>
  <c r="J143" i="3" s="1"/>
  <c r="F143" i="3"/>
  <c r="G143" i="3" s="1"/>
  <c r="I142" i="3"/>
  <c r="J142" i="3" s="1"/>
  <c r="F142" i="3"/>
  <c r="G142" i="3" s="1"/>
  <c r="I140" i="3"/>
  <c r="J140" i="3" s="1"/>
  <c r="F140" i="3"/>
  <c r="G140" i="3" s="1"/>
  <c r="I139" i="3"/>
  <c r="J139" i="3" s="1"/>
  <c r="F139" i="3"/>
  <c r="G139" i="3" s="1"/>
  <c r="I138" i="3"/>
  <c r="J138" i="3" s="1"/>
  <c r="F138" i="3"/>
  <c r="G138" i="3" s="1"/>
  <c r="I137" i="3"/>
  <c r="J137" i="3" s="1"/>
  <c r="F137" i="3"/>
  <c r="G137" i="3" s="1"/>
  <c r="I136" i="3"/>
  <c r="J136" i="3" s="1"/>
  <c r="F136" i="3"/>
  <c r="G136" i="3" s="1"/>
  <c r="I135" i="3"/>
  <c r="J135" i="3" s="1"/>
  <c r="F135" i="3"/>
  <c r="G135" i="3" s="1"/>
  <c r="I134" i="3"/>
  <c r="J134" i="3" s="1"/>
  <c r="F134" i="3"/>
  <c r="G134" i="3" s="1"/>
  <c r="I133" i="3"/>
  <c r="J133" i="3" s="1"/>
  <c r="F133" i="3"/>
  <c r="G133" i="3" s="1"/>
  <c r="I132" i="3"/>
  <c r="J132" i="3" s="1"/>
  <c r="F132" i="3"/>
  <c r="G132" i="3" s="1"/>
  <c r="I131" i="3"/>
  <c r="J131" i="3" s="1"/>
  <c r="F131" i="3"/>
  <c r="G131" i="3" s="1"/>
  <c r="I129" i="3"/>
  <c r="J129" i="3" s="1"/>
  <c r="F129" i="3"/>
  <c r="G129" i="3" s="1"/>
  <c r="I128" i="3"/>
  <c r="J128" i="3" s="1"/>
  <c r="F128" i="3"/>
  <c r="G128" i="3" s="1"/>
  <c r="I127" i="3"/>
  <c r="J127" i="3" s="1"/>
  <c r="F127" i="3"/>
  <c r="G127" i="3" s="1"/>
  <c r="I126" i="3"/>
  <c r="J126" i="3" s="1"/>
  <c r="F126" i="3"/>
  <c r="G126" i="3" s="1"/>
  <c r="I125" i="3"/>
  <c r="J125" i="3" s="1"/>
  <c r="F125" i="3"/>
  <c r="G125" i="3" s="1"/>
  <c r="I124" i="3"/>
  <c r="J124" i="3" s="1"/>
  <c r="F124" i="3"/>
  <c r="G124" i="3" s="1"/>
  <c r="I123" i="3"/>
  <c r="J123" i="3" s="1"/>
  <c r="F123" i="3"/>
  <c r="G123" i="3" s="1"/>
  <c r="I122" i="3"/>
  <c r="J122" i="3" s="1"/>
  <c r="F122" i="3"/>
  <c r="G122" i="3" s="1"/>
  <c r="I121" i="3"/>
  <c r="J121" i="3" s="1"/>
  <c r="F121" i="3"/>
  <c r="G121" i="3" s="1"/>
  <c r="I120" i="3"/>
  <c r="J120" i="3" s="1"/>
  <c r="F120" i="3"/>
  <c r="G120" i="3" s="1"/>
  <c r="I119" i="3"/>
  <c r="J119" i="3" s="1"/>
  <c r="F119" i="3"/>
  <c r="G119" i="3" s="1"/>
  <c r="I117" i="3"/>
  <c r="J117" i="3" s="1"/>
  <c r="F117" i="3"/>
  <c r="G117" i="3" s="1"/>
  <c r="I116" i="3"/>
  <c r="J116" i="3" s="1"/>
  <c r="F116" i="3"/>
  <c r="G116" i="3" s="1"/>
  <c r="I115" i="3"/>
  <c r="J115" i="3" s="1"/>
  <c r="F115" i="3"/>
  <c r="G115" i="3" s="1"/>
  <c r="I114" i="3"/>
  <c r="J114" i="3" s="1"/>
  <c r="F114" i="3"/>
  <c r="G114" i="3" s="1"/>
  <c r="I113" i="3"/>
  <c r="J113" i="3" s="1"/>
  <c r="F113" i="3"/>
  <c r="G113" i="3" s="1"/>
  <c r="I112" i="3"/>
  <c r="J112" i="3" s="1"/>
  <c r="F112" i="3"/>
  <c r="G112" i="3" s="1"/>
  <c r="I111" i="3"/>
  <c r="J111" i="3" s="1"/>
  <c r="F111" i="3"/>
  <c r="G111" i="3" s="1"/>
  <c r="I110" i="3"/>
  <c r="J110" i="3" s="1"/>
  <c r="F110" i="3"/>
  <c r="G110" i="3" s="1"/>
  <c r="I109" i="3"/>
  <c r="J109" i="3" s="1"/>
  <c r="F109" i="3"/>
  <c r="G109" i="3" s="1"/>
  <c r="I108" i="3"/>
  <c r="J108" i="3" s="1"/>
  <c r="F108" i="3"/>
  <c r="G108" i="3" s="1"/>
  <c r="I107" i="3"/>
  <c r="J107" i="3" s="1"/>
  <c r="F107" i="3"/>
  <c r="G107" i="3" s="1"/>
  <c r="I105" i="3"/>
  <c r="J105" i="3" s="1"/>
  <c r="F105" i="3"/>
  <c r="G105" i="3" s="1"/>
  <c r="I104" i="3"/>
  <c r="J104" i="3" s="1"/>
  <c r="F104" i="3"/>
  <c r="G104" i="3" s="1"/>
  <c r="I103" i="3"/>
  <c r="J103" i="3" s="1"/>
  <c r="F103" i="3"/>
  <c r="G103" i="3" s="1"/>
  <c r="I102" i="3"/>
  <c r="J102" i="3" s="1"/>
  <c r="F102" i="3"/>
  <c r="G102" i="3" s="1"/>
  <c r="I101" i="3"/>
  <c r="J101" i="3" s="1"/>
  <c r="F101" i="3"/>
  <c r="G101" i="3" s="1"/>
  <c r="I100" i="3"/>
  <c r="J100" i="3" s="1"/>
  <c r="F100" i="3"/>
  <c r="G100" i="3" s="1"/>
  <c r="I99" i="3"/>
  <c r="J99" i="3" s="1"/>
  <c r="F99" i="3"/>
  <c r="G99" i="3" s="1"/>
  <c r="I98" i="3"/>
  <c r="J98" i="3" s="1"/>
  <c r="F98" i="3"/>
  <c r="G98" i="3" s="1"/>
  <c r="I97" i="3"/>
  <c r="J97" i="3" s="1"/>
  <c r="F97" i="3"/>
  <c r="G97" i="3" s="1"/>
  <c r="I96" i="3"/>
  <c r="J96" i="3" s="1"/>
  <c r="F96" i="3"/>
  <c r="G96" i="3" s="1"/>
  <c r="I93" i="3"/>
  <c r="J93" i="3" s="1"/>
  <c r="F93" i="3"/>
  <c r="G93" i="3" s="1"/>
  <c r="I92" i="3"/>
  <c r="J92" i="3" s="1"/>
  <c r="F92" i="3"/>
  <c r="G92" i="3" s="1"/>
  <c r="I91" i="3"/>
  <c r="J91" i="3" s="1"/>
  <c r="F91" i="3"/>
  <c r="G91" i="3" s="1"/>
  <c r="I90" i="3"/>
  <c r="J90" i="3" s="1"/>
  <c r="F90" i="3"/>
  <c r="G90" i="3" s="1"/>
  <c r="I89" i="3"/>
  <c r="J89" i="3" s="1"/>
  <c r="F89" i="3"/>
  <c r="G89" i="3" s="1"/>
  <c r="I88" i="3"/>
  <c r="J88" i="3" s="1"/>
  <c r="F88" i="3"/>
  <c r="G88" i="3" s="1"/>
  <c r="I87" i="3"/>
  <c r="J87" i="3" s="1"/>
  <c r="F87" i="3"/>
  <c r="G87" i="3" s="1"/>
  <c r="I86" i="3"/>
  <c r="J86" i="3" s="1"/>
  <c r="F86" i="3"/>
  <c r="G86" i="3" s="1"/>
  <c r="I85" i="3"/>
  <c r="J85" i="3" s="1"/>
  <c r="F85" i="3"/>
  <c r="G85" i="3" s="1"/>
  <c r="I83" i="3"/>
  <c r="J83" i="3" s="1"/>
  <c r="F83" i="3"/>
  <c r="G83" i="3" s="1"/>
  <c r="I82" i="3"/>
  <c r="J82" i="3" s="1"/>
  <c r="F82" i="3"/>
  <c r="G82" i="3" s="1"/>
  <c r="I81" i="3"/>
  <c r="J81" i="3" s="1"/>
  <c r="F81" i="3"/>
  <c r="G81" i="3" s="1"/>
  <c r="I80" i="3"/>
  <c r="J80" i="3" s="1"/>
  <c r="F80" i="3"/>
  <c r="G80" i="3" s="1"/>
  <c r="J79" i="3"/>
  <c r="I79" i="3"/>
  <c r="F79" i="3"/>
  <c r="G79" i="3" s="1"/>
  <c r="I78" i="3"/>
  <c r="J78" i="3" s="1"/>
  <c r="F78" i="3"/>
  <c r="G78" i="3" s="1"/>
  <c r="I77" i="3"/>
  <c r="J77" i="3" s="1"/>
  <c r="F77" i="3"/>
  <c r="G77" i="3" s="1"/>
  <c r="I76" i="3"/>
  <c r="J76" i="3" s="1"/>
  <c r="F76" i="3"/>
  <c r="G76" i="3" s="1"/>
  <c r="I75" i="3"/>
  <c r="J75" i="3" s="1"/>
  <c r="F75" i="3"/>
  <c r="G75" i="3" s="1"/>
  <c r="I74" i="3"/>
  <c r="J74" i="3" s="1"/>
  <c r="F74" i="3"/>
  <c r="G74" i="3" s="1"/>
  <c r="I72" i="3"/>
  <c r="J72" i="3" s="1"/>
  <c r="F72" i="3"/>
  <c r="G72" i="3" s="1"/>
  <c r="I71" i="3"/>
  <c r="J71" i="3" s="1"/>
  <c r="F71" i="3"/>
  <c r="G71" i="3" s="1"/>
  <c r="I70" i="3"/>
  <c r="J70" i="3" s="1"/>
  <c r="F70" i="3"/>
  <c r="G70" i="3" s="1"/>
  <c r="I69" i="3"/>
  <c r="J69" i="3" s="1"/>
  <c r="F69" i="3"/>
  <c r="G69" i="3" s="1"/>
  <c r="I68" i="3"/>
  <c r="J68" i="3" s="1"/>
  <c r="F68" i="3"/>
  <c r="G68" i="3" s="1"/>
  <c r="I67" i="3"/>
  <c r="J67" i="3" s="1"/>
  <c r="F67" i="3"/>
  <c r="G67" i="3" s="1"/>
  <c r="I66" i="3"/>
  <c r="J66" i="3" s="1"/>
  <c r="F66" i="3"/>
  <c r="G66" i="3" s="1"/>
  <c r="I65" i="3"/>
  <c r="J65" i="3" s="1"/>
  <c r="F65" i="3"/>
  <c r="G65" i="3" s="1"/>
  <c r="I64" i="3"/>
  <c r="J64" i="3" s="1"/>
  <c r="F64" i="3"/>
  <c r="G64" i="3" s="1"/>
  <c r="I63" i="3"/>
  <c r="J63" i="3" s="1"/>
  <c r="F63" i="3"/>
  <c r="G63" i="3" s="1"/>
  <c r="I62" i="3"/>
  <c r="J62" i="3" s="1"/>
  <c r="F62" i="3"/>
  <c r="G62" i="3" s="1"/>
  <c r="I60" i="3"/>
  <c r="J60" i="3" s="1"/>
  <c r="F60" i="3"/>
  <c r="G60" i="3" s="1"/>
  <c r="I59" i="3"/>
  <c r="J59" i="3" s="1"/>
  <c r="F59" i="3"/>
  <c r="G59" i="3" s="1"/>
  <c r="I58" i="3"/>
  <c r="J58" i="3" s="1"/>
  <c r="F58" i="3"/>
  <c r="G58" i="3" s="1"/>
  <c r="I57" i="3"/>
  <c r="J57" i="3" s="1"/>
  <c r="F57" i="3"/>
  <c r="G57" i="3" s="1"/>
  <c r="I56" i="3"/>
  <c r="J56" i="3" s="1"/>
  <c r="F56" i="3"/>
  <c r="G56" i="3" s="1"/>
  <c r="I55" i="3"/>
  <c r="J55" i="3" s="1"/>
  <c r="F55" i="3"/>
  <c r="G55" i="3" s="1"/>
  <c r="I54" i="3"/>
  <c r="J54" i="3" s="1"/>
  <c r="F54" i="3"/>
  <c r="G54" i="3" s="1"/>
  <c r="I53" i="3"/>
  <c r="J53" i="3" s="1"/>
  <c r="F53" i="3"/>
  <c r="G53" i="3" s="1"/>
  <c r="I52" i="3"/>
  <c r="J52" i="3" s="1"/>
  <c r="F52" i="3"/>
  <c r="G52" i="3" s="1"/>
  <c r="I51" i="3"/>
  <c r="J51" i="3" s="1"/>
  <c r="F51" i="3"/>
  <c r="G51" i="3" s="1"/>
  <c r="I50" i="3"/>
  <c r="J50" i="3" s="1"/>
  <c r="F50" i="3"/>
  <c r="G50" i="3" s="1"/>
  <c r="I48" i="3"/>
  <c r="J48" i="3" s="1"/>
  <c r="F48" i="3"/>
  <c r="G48" i="3" s="1"/>
  <c r="I47" i="3"/>
  <c r="J47" i="3" s="1"/>
  <c r="F47" i="3"/>
  <c r="G47" i="3" s="1"/>
  <c r="I46" i="3"/>
  <c r="J46" i="3" s="1"/>
  <c r="F46" i="3"/>
  <c r="G46" i="3" s="1"/>
  <c r="I45" i="3"/>
  <c r="J45" i="3" s="1"/>
  <c r="F45" i="3"/>
  <c r="G45" i="3" s="1"/>
  <c r="I44" i="3"/>
  <c r="J44" i="3" s="1"/>
  <c r="F44" i="3"/>
  <c r="G44" i="3" s="1"/>
  <c r="I43" i="3"/>
  <c r="J43" i="3" s="1"/>
  <c r="F43" i="3"/>
  <c r="G43" i="3" s="1"/>
  <c r="I42" i="3"/>
  <c r="J42" i="3" s="1"/>
  <c r="F42" i="3"/>
  <c r="G42" i="3" s="1"/>
  <c r="I41" i="3"/>
  <c r="J41" i="3" s="1"/>
  <c r="F41" i="3"/>
  <c r="G41" i="3" s="1"/>
  <c r="I40" i="3"/>
  <c r="J40" i="3" s="1"/>
  <c r="F40" i="3"/>
  <c r="G40" i="3" s="1"/>
  <c r="I39" i="3"/>
  <c r="J39" i="3" s="1"/>
  <c r="F39" i="3"/>
  <c r="G39" i="3" s="1"/>
  <c r="I37" i="3"/>
  <c r="J37" i="3" s="1"/>
  <c r="F37" i="3"/>
  <c r="G37" i="3" s="1"/>
  <c r="I36" i="3"/>
  <c r="J36" i="3" s="1"/>
  <c r="F36" i="3"/>
  <c r="G36" i="3" s="1"/>
  <c r="I35" i="3"/>
  <c r="J35" i="3" s="1"/>
  <c r="F35" i="3"/>
  <c r="G35" i="3" s="1"/>
  <c r="I34" i="3"/>
  <c r="J34" i="3" s="1"/>
  <c r="F34" i="3"/>
  <c r="G34" i="3" s="1"/>
  <c r="I33" i="3"/>
  <c r="J33" i="3" s="1"/>
  <c r="F33" i="3"/>
  <c r="G33" i="3" s="1"/>
  <c r="I32" i="3"/>
  <c r="J32" i="3" s="1"/>
  <c r="F32" i="3"/>
  <c r="G32" i="3" s="1"/>
  <c r="I31" i="3"/>
  <c r="J31" i="3" s="1"/>
  <c r="F31" i="3"/>
  <c r="G31" i="3" s="1"/>
  <c r="I30" i="3"/>
  <c r="J30" i="3" s="1"/>
  <c r="F30" i="3"/>
  <c r="G30" i="3" s="1"/>
  <c r="I29" i="3"/>
  <c r="J29" i="3" s="1"/>
  <c r="F29" i="3"/>
  <c r="G29" i="3" s="1"/>
  <c r="I28" i="3"/>
  <c r="J28" i="3" s="1"/>
  <c r="F28" i="3"/>
  <c r="G28" i="3" s="1"/>
  <c r="I26" i="3"/>
  <c r="J26" i="3" s="1"/>
  <c r="F26" i="3"/>
  <c r="G26" i="3" s="1"/>
  <c r="I25" i="3"/>
  <c r="J25" i="3" s="1"/>
  <c r="F25" i="3"/>
  <c r="G25" i="3" s="1"/>
  <c r="I24" i="3"/>
  <c r="J24" i="3" s="1"/>
  <c r="F24" i="3"/>
  <c r="G24" i="3" s="1"/>
  <c r="I23" i="3"/>
  <c r="J23" i="3" s="1"/>
  <c r="F23" i="3"/>
  <c r="G23" i="3" s="1"/>
  <c r="I22" i="3"/>
  <c r="J22" i="3" s="1"/>
  <c r="F22" i="3"/>
  <c r="G22" i="3" s="1"/>
  <c r="I21" i="3"/>
  <c r="J21" i="3" s="1"/>
  <c r="F21" i="3"/>
  <c r="G21" i="3" s="1"/>
  <c r="I20" i="3"/>
  <c r="J20" i="3" s="1"/>
  <c r="F20" i="3"/>
  <c r="G20" i="3" s="1"/>
  <c r="I19" i="3"/>
  <c r="J19" i="3" s="1"/>
  <c r="F19" i="3"/>
  <c r="G19" i="3" s="1"/>
  <c r="I18" i="3"/>
  <c r="J18" i="3" s="1"/>
  <c r="F18" i="3"/>
  <c r="G18" i="3" s="1"/>
  <c r="I17" i="3"/>
  <c r="J17" i="3" s="1"/>
  <c r="F17" i="3"/>
  <c r="G17" i="3" s="1"/>
  <c r="I15" i="3"/>
  <c r="J15" i="3" s="1"/>
  <c r="F15" i="3"/>
  <c r="G15" i="3" s="1"/>
  <c r="I14" i="3"/>
  <c r="J14" i="3" s="1"/>
  <c r="F14" i="3"/>
  <c r="G14" i="3" s="1"/>
  <c r="I13" i="3"/>
  <c r="J13" i="3" s="1"/>
  <c r="F13" i="3"/>
  <c r="G13" i="3" s="1"/>
  <c r="I12" i="3"/>
  <c r="J12" i="3" s="1"/>
  <c r="F12" i="3"/>
  <c r="G12" i="3" s="1"/>
  <c r="I11" i="3"/>
  <c r="J11" i="3" s="1"/>
  <c r="F11" i="3"/>
  <c r="G11" i="3" s="1"/>
  <c r="I10" i="3"/>
  <c r="J10" i="3" s="1"/>
  <c r="F10" i="3"/>
  <c r="G10" i="3" s="1"/>
  <c r="I9" i="3"/>
  <c r="J9" i="3" s="1"/>
  <c r="F9" i="3"/>
  <c r="G9" i="3" s="1"/>
  <c r="I8" i="3"/>
  <c r="J8" i="3" s="1"/>
  <c r="F8" i="3"/>
  <c r="G8" i="3" s="1"/>
  <c r="I7" i="3"/>
  <c r="J7" i="3" s="1"/>
  <c r="F7" i="3"/>
  <c r="G7" i="3" s="1"/>
  <c r="I6" i="3"/>
  <c r="J6" i="3" s="1"/>
  <c r="F6" i="3"/>
  <c r="G6" i="3" s="1"/>
  <c r="I5" i="3"/>
  <c r="J5" i="3" s="1"/>
  <c r="F5" i="3"/>
  <c r="G5" i="3" s="1"/>
  <c r="I230" i="1"/>
  <c r="J230" i="1" s="1"/>
  <c r="F230" i="1"/>
  <c r="G230" i="1" s="1"/>
  <c r="I229" i="1"/>
  <c r="J229" i="1" s="1"/>
  <c r="F229" i="1"/>
  <c r="G229" i="1" s="1"/>
  <c r="I228" i="1"/>
  <c r="J228" i="1" s="1"/>
  <c r="F228" i="1"/>
  <c r="G228" i="1" s="1"/>
  <c r="I227" i="1"/>
  <c r="J227" i="1" s="1"/>
  <c r="F227" i="1"/>
  <c r="G227" i="1" s="1"/>
  <c r="I226" i="1"/>
  <c r="J226" i="1" s="1"/>
  <c r="F226" i="1"/>
  <c r="G226" i="1" s="1"/>
  <c r="I225" i="1"/>
  <c r="J225" i="1" s="1"/>
  <c r="F225" i="1"/>
  <c r="G225" i="1" s="1"/>
  <c r="I224" i="1"/>
  <c r="J224" i="1" s="1"/>
  <c r="F224" i="1"/>
  <c r="G224" i="1" s="1"/>
  <c r="I223" i="1"/>
  <c r="J223" i="1" s="1"/>
  <c r="F223" i="1"/>
  <c r="G223" i="1" s="1"/>
  <c r="I222" i="1"/>
  <c r="J222" i="1" s="1"/>
  <c r="F222" i="1"/>
  <c r="G222" i="1" s="1"/>
  <c r="I221" i="1"/>
  <c r="J221" i="1" s="1"/>
  <c r="F221" i="1"/>
  <c r="G221" i="1" s="1"/>
  <c r="I219" i="1"/>
  <c r="J219" i="1" s="1"/>
  <c r="F219" i="1"/>
  <c r="G219" i="1" s="1"/>
  <c r="I218" i="1"/>
  <c r="J218" i="1" s="1"/>
  <c r="F218" i="1"/>
  <c r="G218" i="1" s="1"/>
  <c r="I217" i="1"/>
  <c r="J217" i="1" s="1"/>
  <c r="F217" i="1"/>
  <c r="G217" i="1" s="1"/>
  <c r="I216" i="1"/>
  <c r="J216" i="1" s="1"/>
  <c r="F216" i="1"/>
  <c r="G216" i="1" s="1"/>
  <c r="I215" i="1"/>
  <c r="J215" i="1" s="1"/>
  <c r="F215" i="1"/>
  <c r="G215" i="1" s="1"/>
  <c r="I214" i="1"/>
  <c r="J214" i="1" s="1"/>
  <c r="F214" i="1"/>
  <c r="G214" i="1" s="1"/>
  <c r="I213" i="1"/>
  <c r="J213" i="1" s="1"/>
  <c r="F213" i="1"/>
  <c r="G213" i="1" s="1"/>
  <c r="I212" i="1"/>
  <c r="J212" i="1" s="1"/>
  <c r="F212" i="1"/>
  <c r="G212" i="1" s="1"/>
  <c r="I211" i="1"/>
  <c r="J211" i="1" s="1"/>
  <c r="F211" i="1"/>
  <c r="G211" i="1" s="1"/>
  <c r="I210" i="1"/>
  <c r="J210" i="1" s="1"/>
  <c r="F210" i="1"/>
  <c r="G210" i="1" s="1"/>
  <c r="I208" i="1"/>
  <c r="J208" i="1" s="1"/>
  <c r="F208" i="1"/>
  <c r="G208" i="1" s="1"/>
  <c r="I207" i="1"/>
  <c r="J207" i="1" s="1"/>
  <c r="F207" i="1"/>
  <c r="G207" i="1" s="1"/>
  <c r="I206" i="1"/>
  <c r="J206" i="1" s="1"/>
  <c r="F206" i="1"/>
  <c r="G206" i="1" s="1"/>
  <c r="I205" i="1"/>
  <c r="J205" i="1" s="1"/>
  <c r="F205" i="1"/>
  <c r="G205" i="1" s="1"/>
  <c r="I204" i="1"/>
  <c r="J204" i="1" s="1"/>
  <c r="F204" i="1"/>
  <c r="G204" i="1" s="1"/>
  <c r="I203" i="1"/>
  <c r="J203" i="1" s="1"/>
  <c r="G203" i="1"/>
  <c r="F203" i="1"/>
  <c r="I202" i="1"/>
  <c r="J202" i="1" s="1"/>
  <c r="F202" i="1"/>
  <c r="G202" i="1" s="1"/>
  <c r="I201" i="1"/>
  <c r="J201" i="1" s="1"/>
  <c r="F201" i="1"/>
  <c r="G201" i="1" s="1"/>
  <c r="I200" i="1"/>
  <c r="J200" i="1" s="1"/>
  <c r="F200" i="1"/>
  <c r="G200" i="1" s="1"/>
  <c r="I199" i="1"/>
  <c r="J199" i="1" s="1"/>
  <c r="F199" i="1"/>
  <c r="G199" i="1" s="1"/>
  <c r="I197" i="1"/>
  <c r="J197" i="1" s="1"/>
  <c r="F197" i="1"/>
  <c r="G197" i="1" s="1"/>
  <c r="I196" i="1"/>
  <c r="J196" i="1" s="1"/>
  <c r="F196" i="1"/>
  <c r="G196" i="1" s="1"/>
  <c r="I195" i="1"/>
  <c r="J195" i="1" s="1"/>
  <c r="F195" i="1"/>
  <c r="G195" i="1" s="1"/>
  <c r="I194" i="1"/>
  <c r="J194" i="1" s="1"/>
  <c r="F194" i="1"/>
  <c r="G194" i="1" s="1"/>
  <c r="I193" i="1"/>
  <c r="J193" i="1" s="1"/>
  <c r="F193" i="1"/>
  <c r="G193" i="1" s="1"/>
  <c r="I192" i="1"/>
  <c r="J192" i="1" s="1"/>
  <c r="F192" i="1"/>
  <c r="G192" i="1" s="1"/>
  <c r="I191" i="1"/>
  <c r="J191" i="1" s="1"/>
  <c r="F191" i="1"/>
  <c r="G191" i="1" s="1"/>
  <c r="I190" i="1"/>
  <c r="J190" i="1" s="1"/>
  <c r="F190" i="1"/>
  <c r="G190" i="1" s="1"/>
  <c r="I189" i="1"/>
  <c r="J189" i="1" s="1"/>
  <c r="F189" i="1"/>
  <c r="G189" i="1" s="1"/>
  <c r="I188" i="1"/>
  <c r="J188" i="1" s="1"/>
  <c r="F188" i="1"/>
  <c r="G188" i="1" s="1"/>
  <c r="I186" i="1"/>
  <c r="J186" i="1" s="1"/>
  <c r="F186" i="1"/>
  <c r="G186" i="1" s="1"/>
  <c r="I185" i="1"/>
  <c r="J185" i="1" s="1"/>
  <c r="F185" i="1"/>
  <c r="G185" i="1" s="1"/>
  <c r="I184" i="1"/>
  <c r="J184" i="1" s="1"/>
  <c r="F184" i="1"/>
  <c r="G184" i="1" s="1"/>
  <c r="I183" i="1"/>
  <c r="J183" i="1" s="1"/>
  <c r="F183" i="1"/>
  <c r="G183" i="1" s="1"/>
  <c r="I182" i="1"/>
  <c r="J182" i="1" s="1"/>
  <c r="F182" i="1"/>
  <c r="G182" i="1" s="1"/>
  <c r="I181" i="1"/>
  <c r="J181" i="1" s="1"/>
  <c r="F181" i="1"/>
  <c r="G181" i="1" s="1"/>
  <c r="I180" i="1"/>
  <c r="J180" i="1" s="1"/>
  <c r="F180" i="1"/>
  <c r="G180" i="1" s="1"/>
  <c r="I179" i="1"/>
  <c r="J179" i="1" s="1"/>
  <c r="F179" i="1"/>
  <c r="G179" i="1" s="1"/>
  <c r="I178" i="1"/>
  <c r="J178" i="1" s="1"/>
  <c r="F178" i="1"/>
  <c r="G178" i="1" s="1"/>
  <c r="I177" i="1"/>
  <c r="J177" i="1" s="1"/>
  <c r="F177" i="1"/>
  <c r="G177" i="1" s="1"/>
  <c r="I176" i="1"/>
  <c r="J176" i="1" s="1"/>
  <c r="F176" i="1"/>
  <c r="G176" i="1" s="1"/>
  <c r="I174" i="1"/>
  <c r="J174" i="1" s="1"/>
  <c r="G174" i="1"/>
  <c r="F174" i="1"/>
  <c r="I173" i="1"/>
  <c r="J173" i="1" s="1"/>
  <c r="F173" i="1"/>
  <c r="G173" i="1" s="1"/>
  <c r="I172" i="1"/>
  <c r="J172" i="1" s="1"/>
  <c r="F172" i="1"/>
  <c r="G172" i="1" s="1"/>
  <c r="I171" i="1"/>
  <c r="J171" i="1" s="1"/>
  <c r="F171" i="1"/>
  <c r="G171" i="1" s="1"/>
  <c r="I170" i="1"/>
  <c r="J170" i="1" s="1"/>
  <c r="F170" i="1"/>
  <c r="G170" i="1" s="1"/>
  <c r="I169" i="1"/>
  <c r="J169" i="1" s="1"/>
  <c r="F169" i="1"/>
  <c r="G169" i="1" s="1"/>
  <c r="I168" i="1"/>
  <c r="J168" i="1" s="1"/>
  <c r="F168" i="1"/>
  <c r="G168" i="1" s="1"/>
  <c r="I167" i="1"/>
  <c r="J167" i="1" s="1"/>
  <c r="F167" i="1"/>
  <c r="G167" i="1" s="1"/>
  <c r="I166" i="1"/>
  <c r="J166" i="1" s="1"/>
  <c r="F166" i="1"/>
  <c r="G166" i="1" s="1"/>
  <c r="I165" i="1"/>
  <c r="J165" i="1" s="1"/>
  <c r="F165" i="1"/>
  <c r="G165" i="1" s="1"/>
  <c r="I164" i="1"/>
  <c r="J164" i="1" s="1"/>
  <c r="F164" i="1"/>
  <c r="G164" i="1" s="1"/>
  <c r="I162" i="1"/>
  <c r="J162" i="1" s="1"/>
  <c r="F162" i="1"/>
  <c r="G162" i="1" s="1"/>
  <c r="I161" i="1"/>
  <c r="J161" i="1" s="1"/>
  <c r="F161" i="1"/>
  <c r="G161" i="1" s="1"/>
  <c r="I160" i="1"/>
  <c r="J160" i="1" s="1"/>
  <c r="F160" i="1"/>
  <c r="G160" i="1" s="1"/>
  <c r="I159" i="1"/>
  <c r="J159" i="1" s="1"/>
  <c r="F159" i="1"/>
  <c r="G159" i="1" s="1"/>
  <c r="I158" i="1"/>
  <c r="J158" i="1" s="1"/>
  <c r="F158" i="1"/>
  <c r="G158" i="1" s="1"/>
  <c r="I157" i="1"/>
  <c r="J157" i="1" s="1"/>
  <c r="F157" i="1"/>
  <c r="G157" i="1" s="1"/>
  <c r="I156" i="1"/>
  <c r="J156" i="1" s="1"/>
  <c r="F156" i="1"/>
  <c r="G156" i="1" s="1"/>
  <c r="I155" i="1"/>
  <c r="J155" i="1" s="1"/>
  <c r="F155" i="1"/>
  <c r="G155" i="1" s="1"/>
  <c r="I154" i="1"/>
  <c r="J154" i="1" s="1"/>
  <c r="F154" i="1"/>
  <c r="G154" i="1" s="1"/>
  <c r="I153" i="1"/>
  <c r="J153" i="1" s="1"/>
  <c r="F153" i="1"/>
  <c r="G153" i="1" s="1"/>
  <c r="I151" i="1"/>
  <c r="J151" i="1" s="1"/>
  <c r="F151" i="1"/>
  <c r="G151" i="1" s="1"/>
  <c r="I150" i="1"/>
  <c r="J150" i="1" s="1"/>
  <c r="F150" i="1"/>
  <c r="G150" i="1" s="1"/>
  <c r="I149" i="1"/>
  <c r="J149" i="1" s="1"/>
  <c r="F149" i="1"/>
  <c r="G149" i="1" s="1"/>
  <c r="I148" i="1"/>
  <c r="J148" i="1" s="1"/>
  <c r="F148" i="1"/>
  <c r="G148" i="1" s="1"/>
  <c r="I147" i="1"/>
  <c r="J147" i="1" s="1"/>
  <c r="F147" i="1"/>
  <c r="G147" i="1" s="1"/>
  <c r="I146" i="1"/>
  <c r="J146" i="1" s="1"/>
  <c r="G146" i="1"/>
  <c r="F146" i="1"/>
  <c r="I145" i="1"/>
  <c r="J145" i="1" s="1"/>
  <c r="F145" i="1"/>
  <c r="G145" i="1" s="1"/>
  <c r="I144" i="1"/>
  <c r="J144" i="1" s="1"/>
  <c r="F144" i="1"/>
  <c r="G144" i="1" s="1"/>
  <c r="I143" i="1"/>
  <c r="J143" i="1" s="1"/>
  <c r="F143" i="1"/>
  <c r="G143" i="1" s="1"/>
  <c r="I142" i="1"/>
  <c r="J142" i="1" s="1"/>
  <c r="F142" i="1"/>
  <c r="G142" i="1" s="1"/>
  <c r="I140" i="1"/>
  <c r="J140" i="1" s="1"/>
  <c r="F140" i="1"/>
  <c r="G140" i="1" s="1"/>
  <c r="I139" i="1"/>
  <c r="J139" i="1" s="1"/>
  <c r="F139" i="1"/>
  <c r="G139" i="1" s="1"/>
  <c r="I138" i="1"/>
  <c r="J138" i="1" s="1"/>
  <c r="F138" i="1"/>
  <c r="G138" i="1" s="1"/>
  <c r="I137" i="1"/>
  <c r="J137" i="1" s="1"/>
  <c r="F137" i="1"/>
  <c r="G137" i="1" s="1"/>
  <c r="I136" i="1"/>
  <c r="J136" i="1" s="1"/>
  <c r="F136" i="1"/>
  <c r="G136" i="1" s="1"/>
  <c r="I135" i="1"/>
  <c r="J135" i="1" s="1"/>
  <c r="F135" i="1"/>
  <c r="G135" i="1" s="1"/>
  <c r="I134" i="1"/>
  <c r="J134" i="1" s="1"/>
  <c r="F134" i="1"/>
  <c r="G134" i="1" s="1"/>
  <c r="I133" i="1"/>
  <c r="J133" i="1" s="1"/>
  <c r="F133" i="1"/>
  <c r="G133" i="1" s="1"/>
  <c r="I132" i="1"/>
  <c r="J132" i="1" s="1"/>
  <c r="F132" i="1"/>
  <c r="G132" i="1" s="1"/>
  <c r="I131" i="1"/>
  <c r="J131" i="1" s="1"/>
  <c r="F131" i="1"/>
  <c r="G131" i="1" s="1"/>
  <c r="I129" i="1"/>
  <c r="J129" i="1" s="1"/>
  <c r="F129" i="1"/>
  <c r="G129" i="1" s="1"/>
  <c r="I128" i="1"/>
  <c r="J128" i="1" s="1"/>
  <c r="F128" i="1"/>
  <c r="G128" i="1" s="1"/>
  <c r="I127" i="1"/>
  <c r="J127" i="1" s="1"/>
  <c r="F127" i="1"/>
  <c r="G127" i="1" s="1"/>
  <c r="I126" i="1"/>
  <c r="J126" i="1" s="1"/>
  <c r="F126" i="1"/>
  <c r="G126" i="1" s="1"/>
  <c r="I125" i="1"/>
  <c r="J125" i="1" s="1"/>
  <c r="F125" i="1"/>
  <c r="G125" i="1" s="1"/>
  <c r="I124" i="1"/>
  <c r="J124" i="1" s="1"/>
  <c r="F124" i="1"/>
  <c r="G124" i="1" s="1"/>
  <c r="I123" i="1"/>
  <c r="J123" i="1" s="1"/>
  <c r="F123" i="1"/>
  <c r="G123" i="1" s="1"/>
  <c r="I122" i="1"/>
  <c r="J122" i="1" s="1"/>
  <c r="F122" i="1"/>
  <c r="G122" i="1" s="1"/>
  <c r="I121" i="1"/>
  <c r="J121" i="1" s="1"/>
  <c r="F121" i="1"/>
  <c r="G121" i="1" s="1"/>
  <c r="I120" i="1"/>
  <c r="J120" i="1" s="1"/>
  <c r="F120" i="1"/>
  <c r="G120" i="1" s="1"/>
  <c r="I119" i="1"/>
  <c r="J119" i="1" s="1"/>
  <c r="F119" i="1"/>
  <c r="G119" i="1" s="1"/>
  <c r="I117" i="1"/>
  <c r="J117" i="1" s="1"/>
  <c r="G117" i="1"/>
  <c r="F117" i="1"/>
  <c r="I116" i="1"/>
  <c r="J116" i="1" s="1"/>
  <c r="F116" i="1"/>
  <c r="G116" i="1" s="1"/>
  <c r="I115" i="1"/>
  <c r="J115" i="1" s="1"/>
  <c r="F115" i="1"/>
  <c r="G115" i="1" s="1"/>
  <c r="I114" i="1"/>
  <c r="J114" i="1" s="1"/>
  <c r="F114" i="1"/>
  <c r="G114" i="1" s="1"/>
  <c r="I113" i="1"/>
  <c r="J113" i="1" s="1"/>
  <c r="F113" i="1"/>
  <c r="G113" i="1" s="1"/>
  <c r="I112" i="1"/>
  <c r="J112" i="1" s="1"/>
  <c r="F112" i="1"/>
  <c r="G112" i="1" s="1"/>
  <c r="I111" i="1"/>
  <c r="J111" i="1" s="1"/>
  <c r="F111" i="1"/>
  <c r="G111" i="1" s="1"/>
  <c r="I110" i="1"/>
  <c r="J110" i="1" s="1"/>
  <c r="F110" i="1"/>
  <c r="G110" i="1" s="1"/>
  <c r="I109" i="1"/>
  <c r="J109" i="1" s="1"/>
  <c r="F109" i="1"/>
  <c r="G109" i="1" s="1"/>
  <c r="I108" i="1"/>
  <c r="J108" i="1" s="1"/>
  <c r="F108" i="1"/>
  <c r="G108" i="1" s="1"/>
  <c r="I107" i="1"/>
  <c r="J107" i="1" s="1"/>
  <c r="F107" i="1"/>
  <c r="G107" i="1" s="1"/>
  <c r="I105" i="1"/>
  <c r="J105" i="1" s="1"/>
  <c r="F105" i="1"/>
  <c r="G105" i="1" s="1"/>
  <c r="I104" i="1"/>
  <c r="J104" i="1" s="1"/>
  <c r="F104" i="1"/>
  <c r="G104" i="1" s="1"/>
  <c r="I103" i="1"/>
  <c r="J103" i="1" s="1"/>
  <c r="F103" i="1"/>
  <c r="G103" i="1" s="1"/>
  <c r="I102" i="1"/>
  <c r="J102" i="1" s="1"/>
  <c r="F102" i="1"/>
  <c r="G102" i="1" s="1"/>
  <c r="I101" i="1"/>
  <c r="J101" i="1" s="1"/>
  <c r="F101" i="1"/>
  <c r="G101" i="1" s="1"/>
  <c r="I100" i="1"/>
  <c r="J100" i="1" s="1"/>
  <c r="F100" i="1"/>
  <c r="G100" i="1" s="1"/>
  <c r="I99" i="1"/>
  <c r="J99" i="1" s="1"/>
  <c r="F99" i="1"/>
  <c r="G99" i="1" s="1"/>
  <c r="I98" i="1"/>
  <c r="J98" i="1" s="1"/>
  <c r="F98" i="1"/>
  <c r="G98" i="1" s="1"/>
  <c r="I97" i="1"/>
  <c r="J97" i="1" s="1"/>
  <c r="F97" i="1"/>
  <c r="G97" i="1" s="1"/>
  <c r="I96" i="1"/>
  <c r="J96" i="1" s="1"/>
  <c r="F96" i="1"/>
  <c r="G96" i="1" s="1"/>
  <c r="I93" i="1"/>
  <c r="J93" i="1" s="1"/>
  <c r="F93" i="1"/>
  <c r="G93" i="1" s="1"/>
  <c r="I92" i="1"/>
  <c r="J92" i="1" s="1"/>
  <c r="F92" i="1"/>
  <c r="G92" i="1" s="1"/>
  <c r="I91" i="1"/>
  <c r="J91" i="1" s="1"/>
  <c r="F91" i="1"/>
  <c r="G91" i="1" s="1"/>
  <c r="I90" i="1"/>
  <c r="J90" i="1" s="1"/>
  <c r="F90" i="1"/>
  <c r="G90" i="1" s="1"/>
  <c r="I89" i="1"/>
  <c r="J89" i="1" s="1"/>
  <c r="F89" i="1"/>
  <c r="G89" i="1" s="1"/>
  <c r="I88" i="1"/>
  <c r="J88" i="1" s="1"/>
  <c r="G88" i="1"/>
  <c r="F88" i="1"/>
  <c r="I87" i="1"/>
  <c r="J87" i="1" s="1"/>
  <c r="F87" i="1"/>
  <c r="G87" i="1" s="1"/>
  <c r="I86" i="1"/>
  <c r="J86" i="1" s="1"/>
  <c r="F86" i="1"/>
  <c r="G86" i="1" s="1"/>
  <c r="I85" i="1"/>
  <c r="J85" i="1" s="1"/>
  <c r="F85" i="1"/>
  <c r="G85" i="1" s="1"/>
  <c r="I83" i="1"/>
  <c r="J83" i="1" s="1"/>
  <c r="F83" i="1"/>
  <c r="G83" i="1" s="1"/>
  <c r="I82" i="1"/>
  <c r="J82" i="1" s="1"/>
  <c r="F82" i="1"/>
  <c r="G82" i="1" s="1"/>
  <c r="I81" i="1"/>
  <c r="J81" i="1" s="1"/>
  <c r="F81" i="1"/>
  <c r="G81" i="1" s="1"/>
  <c r="I80" i="1"/>
  <c r="J80" i="1" s="1"/>
  <c r="F80" i="1"/>
  <c r="G80" i="1" s="1"/>
  <c r="I79" i="1"/>
  <c r="J79" i="1" s="1"/>
  <c r="F79" i="1"/>
  <c r="G79" i="1" s="1"/>
  <c r="I78" i="1"/>
  <c r="J78" i="1" s="1"/>
  <c r="F78" i="1"/>
  <c r="G78" i="1" s="1"/>
  <c r="I77" i="1"/>
  <c r="J77" i="1" s="1"/>
  <c r="F77" i="1"/>
  <c r="G77" i="1" s="1"/>
  <c r="I76" i="1"/>
  <c r="J76" i="1" s="1"/>
  <c r="F76" i="1"/>
  <c r="G76" i="1" s="1"/>
  <c r="I75" i="1"/>
  <c r="J75" i="1" s="1"/>
  <c r="F75" i="1"/>
  <c r="G75" i="1" s="1"/>
  <c r="I74" i="1"/>
  <c r="J74" i="1" s="1"/>
  <c r="F74" i="1"/>
  <c r="G74" i="1" s="1"/>
  <c r="I72" i="1"/>
  <c r="J72" i="1" s="1"/>
  <c r="F72" i="1"/>
  <c r="G72" i="1" s="1"/>
  <c r="I71" i="1"/>
  <c r="J71" i="1" s="1"/>
  <c r="F71" i="1"/>
  <c r="G71" i="1" s="1"/>
  <c r="I70" i="1"/>
  <c r="J70" i="1" s="1"/>
  <c r="F70" i="1"/>
  <c r="G70" i="1" s="1"/>
  <c r="I69" i="1"/>
  <c r="J69" i="1" s="1"/>
  <c r="F69" i="1"/>
  <c r="G69" i="1" s="1"/>
  <c r="I68" i="1"/>
  <c r="J68" i="1" s="1"/>
  <c r="F68" i="1"/>
  <c r="G68" i="1" s="1"/>
  <c r="I67" i="1"/>
  <c r="J67" i="1" s="1"/>
  <c r="F67" i="1"/>
  <c r="G67" i="1" s="1"/>
  <c r="I66" i="1"/>
  <c r="J66" i="1" s="1"/>
  <c r="F66" i="1"/>
  <c r="G66" i="1" s="1"/>
  <c r="I65" i="1"/>
  <c r="J65" i="1" s="1"/>
  <c r="F65" i="1"/>
  <c r="G65" i="1" s="1"/>
  <c r="I64" i="1"/>
  <c r="J64" i="1" s="1"/>
  <c r="F64" i="1"/>
  <c r="G64" i="1" s="1"/>
  <c r="I63" i="1"/>
  <c r="J63" i="1" s="1"/>
  <c r="F63" i="1"/>
  <c r="G63" i="1" s="1"/>
  <c r="I62" i="1"/>
  <c r="J62" i="1" s="1"/>
  <c r="F62" i="1"/>
  <c r="G62" i="1" s="1"/>
  <c r="I60" i="1"/>
  <c r="J60" i="1" s="1"/>
  <c r="F60" i="1"/>
  <c r="G60" i="1" s="1"/>
  <c r="I59" i="1"/>
  <c r="J59" i="1" s="1"/>
  <c r="G59" i="1"/>
  <c r="F59" i="1"/>
  <c r="I58" i="1"/>
  <c r="J58" i="1" s="1"/>
  <c r="F58" i="1"/>
  <c r="G58" i="1" s="1"/>
  <c r="I57" i="1"/>
  <c r="J57" i="1" s="1"/>
  <c r="F57" i="1"/>
  <c r="G57" i="1" s="1"/>
  <c r="I56" i="1"/>
  <c r="J56" i="1" s="1"/>
  <c r="F56" i="1"/>
  <c r="G56" i="1" s="1"/>
  <c r="I55" i="1"/>
  <c r="J55" i="1" s="1"/>
  <c r="F55" i="1"/>
  <c r="G55" i="1" s="1"/>
  <c r="I54" i="1"/>
  <c r="J54" i="1" s="1"/>
  <c r="F54" i="1"/>
  <c r="G54" i="1" s="1"/>
  <c r="I53" i="1"/>
  <c r="J53" i="1" s="1"/>
  <c r="F53" i="1"/>
  <c r="G53" i="1" s="1"/>
  <c r="I52" i="1"/>
  <c r="J52" i="1" s="1"/>
  <c r="F52" i="1"/>
  <c r="G52" i="1" s="1"/>
  <c r="I51" i="1"/>
  <c r="J51" i="1" s="1"/>
  <c r="F51" i="1"/>
  <c r="G51" i="1" s="1"/>
  <c r="I50" i="1"/>
  <c r="J50" i="1" s="1"/>
  <c r="F50" i="1"/>
  <c r="G50" i="1" s="1"/>
  <c r="I48" i="1"/>
  <c r="J48" i="1" s="1"/>
  <c r="F48" i="1"/>
  <c r="G48" i="1" s="1"/>
  <c r="I47" i="1"/>
  <c r="J47" i="1" s="1"/>
  <c r="F47" i="1"/>
  <c r="G47" i="1" s="1"/>
  <c r="I46" i="1"/>
  <c r="J46" i="1" s="1"/>
  <c r="F46" i="1"/>
  <c r="G46" i="1" s="1"/>
  <c r="I45" i="1"/>
  <c r="J45" i="1" s="1"/>
  <c r="F45" i="1"/>
  <c r="G45" i="1" s="1"/>
  <c r="I44" i="1"/>
  <c r="J44" i="1" s="1"/>
  <c r="F44" i="1"/>
  <c r="G44" i="1" s="1"/>
  <c r="I43" i="1"/>
  <c r="J43" i="1" s="1"/>
  <c r="F43" i="1"/>
  <c r="G43" i="1" s="1"/>
  <c r="I42" i="1"/>
  <c r="J42" i="1" s="1"/>
  <c r="F42" i="1"/>
  <c r="G42" i="1" s="1"/>
  <c r="I41" i="1"/>
  <c r="J41" i="1" s="1"/>
  <c r="F41" i="1"/>
  <c r="G41" i="1" s="1"/>
  <c r="I40" i="1"/>
  <c r="J40" i="1" s="1"/>
  <c r="F40" i="1"/>
  <c r="G40" i="1" s="1"/>
  <c r="I39" i="1"/>
  <c r="J39" i="1" s="1"/>
  <c r="F39" i="1"/>
  <c r="G39" i="1" s="1"/>
  <c r="I37" i="1"/>
  <c r="J37" i="1" s="1"/>
  <c r="F37" i="1"/>
  <c r="G37" i="1" s="1"/>
  <c r="I36" i="1"/>
  <c r="J36" i="1" s="1"/>
  <c r="F36" i="1"/>
  <c r="G36" i="1" s="1"/>
  <c r="I35" i="1"/>
  <c r="J35" i="1" s="1"/>
  <c r="F35" i="1"/>
  <c r="G35" i="1" s="1"/>
  <c r="I34" i="1"/>
  <c r="J34" i="1" s="1"/>
  <c r="F34" i="1"/>
  <c r="G34" i="1" s="1"/>
  <c r="I33" i="1"/>
  <c r="J33" i="1" s="1"/>
  <c r="F33" i="1"/>
  <c r="G33" i="1" s="1"/>
  <c r="I32" i="1"/>
  <c r="J32" i="1" s="1"/>
  <c r="F32" i="1"/>
  <c r="G32" i="1" s="1"/>
  <c r="I31" i="1"/>
  <c r="J31" i="1" s="1"/>
  <c r="G31" i="1"/>
  <c r="F31" i="1"/>
  <c r="I30" i="1"/>
  <c r="J30" i="1" s="1"/>
  <c r="F30" i="1"/>
  <c r="G30" i="1" s="1"/>
  <c r="I29" i="1"/>
  <c r="J29" i="1" s="1"/>
  <c r="F29" i="1"/>
  <c r="G29" i="1" s="1"/>
  <c r="I28" i="1"/>
  <c r="J28" i="1" s="1"/>
  <c r="F28" i="1"/>
  <c r="G28" i="1" s="1"/>
  <c r="I26" i="1"/>
  <c r="J26" i="1" s="1"/>
  <c r="F26" i="1"/>
  <c r="G26" i="1" s="1"/>
  <c r="I25" i="1"/>
  <c r="J25" i="1" s="1"/>
  <c r="F25" i="1"/>
  <c r="G25" i="1" s="1"/>
  <c r="I24" i="1"/>
  <c r="J24" i="1" s="1"/>
  <c r="F24" i="1"/>
  <c r="G24" i="1" s="1"/>
  <c r="I23" i="1"/>
  <c r="J23" i="1" s="1"/>
  <c r="F23" i="1"/>
  <c r="G23" i="1" s="1"/>
  <c r="I22" i="1"/>
  <c r="J22" i="1" s="1"/>
  <c r="F22" i="1"/>
  <c r="G22" i="1" s="1"/>
  <c r="I21" i="1"/>
  <c r="J21" i="1" s="1"/>
  <c r="F21" i="1"/>
  <c r="G21" i="1" s="1"/>
  <c r="I20" i="1"/>
  <c r="J20" i="1" s="1"/>
  <c r="F20" i="1"/>
  <c r="G20" i="1" s="1"/>
  <c r="I19" i="1"/>
  <c r="J19" i="1" s="1"/>
  <c r="F19" i="1"/>
  <c r="G19" i="1" s="1"/>
  <c r="I18" i="1"/>
  <c r="J18" i="1" s="1"/>
  <c r="F18" i="1"/>
  <c r="G18" i="1" s="1"/>
  <c r="I17" i="1"/>
  <c r="J17" i="1" s="1"/>
  <c r="F17" i="1"/>
  <c r="G17" i="1" s="1"/>
  <c r="I15" i="1"/>
  <c r="J15" i="1" s="1"/>
  <c r="F15" i="1"/>
  <c r="G15" i="1" s="1"/>
  <c r="I14" i="1"/>
  <c r="J14" i="1" s="1"/>
  <c r="F14" i="1"/>
  <c r="G14" i="1" s="1"/>
  <c r="I13" i="1"/>
  <c r="J13" i="1" s="1"/>
  <c r="F13" i="1"/>
  <c r="G13" i="1" s="1"/>
  <c r="I12" i="1"/>
  <c r="J12" i="1" s="1"/>
  <c r="F12" i="1"/>
  <c r="G12" i="1" s="1"/>
  <c r="I11" i="1"/>
  <c r="J11" i="1" s="1"/>
  <c r="F11" i="1"/>
  <c r="G11" i="1" s="1"/>
  <c r="I10" i="1"/>
  <c r="J10" i="1" s="1"/>
  <c r="F10" i="1"/>
  <c r="G10" i="1" s="1"/>
  <c r="I9" i="1"/>
  <c r="J9" i="1" s="1"/>
  <c r="F9" i="1"/>
  <c r="G9" i="1" s="1"/>
  <c r="I8" i="1"/>
  <c r="J8" i="1" s="1"/>
  <c r="F8" i="1"/>
  <c r="G8" i="1" s="1"/>
  <c r="I7" i="1"/>
  <c r="J7" i="1" s="1"/>
  <c r="F7" i="1"/>
  <c r="G7" i="1" s="1"/>
  <c r="I6" i="1"/>
  <c r="J6" i="1" s="1"/>
  <c r="F6" i="1"/>
  <c r="G6" i="1" s="1"/>
  <c r="I5" i="1"/>
  <c r="J5" i="1" s="1"/>
  <c r="F5" i="1"/>
  <c r="G5" i="1" s="1"/>
</calcChain>
</file>

<file path=xl/sharedStrings.xml><?xml version="1.0" encoding="utf-8"?>
<sst xmlns="http://schemas.openxmlformats.org/spreadsheetml/2006/main" count="1347" uniqueCount="447">
  <si>
    <t>ตารางบันทึกส่วนสูง น้ำหนัก ค่า BMI และประเมินความสมส่วน นสต.กองร้อยที่ ๒ อาคาร ๔ รุ่น ๖๓</t>
  </si>
  <si>
    <t>ณ วันที่ 6/8/2569</t>
  </si>
  <si>
    <t>ณ วันที่ 20/8/2569</t>
  </si>
  <si>
    <t>ลำดับ</t>
  </si>
  <si>
    <t>รหัส นสต.</t>
  </si>
  <si>
    <t>ชื่อ - สกุล</t>
  </si>
  <si>
    <t>ส่วนสูง
(ซม.)</t>
  </si>
  <si>
    <t>น้ำหนัก
(กก.)</t>
  </si>
  <si>
    <t>ค่า BMI</t>
  </si>
  <si>
    <t>การประเมินความสมส่วน</t>
  </si>
  <si>
    <t>หมายเหตุ</t>
  </si>
  <si>
    <t>หมู่ ๑ หมวด ๑</t>
  </si>
  <si>
    <t>๒-๐๐๑</t>
  </si>
  <si>
    <t>เมธาสิทธิ์ ศรีประเสริฐ</t>
  </si>
  <si>
    <t>๒-๐๐๒</t>
  </si>
  <si>
    <t>สุทัศน์ พรมสวัสดิ์</t>
  </si>
  <si>
    <t>๒-๐๐๓</t>
  </si>
  <si>
    <t>ทินภัทร ไชยภา</t>
  </si>
  <si>
    <t>๒-๐๐๔</t>
  </si>
  <si>
    <t>สิทธิพร พิมพ์สวัสดิ์</t>
  </si>
  <si>
    <t>๒-๐๐๕</t>
  </si>
  <si>
    <t>พันแสง หมายสิน</t>
  </si>
  <si>
    <t>๒-๐๐๖</t>
  </si>
  <si>
    <t>ฤทธิชัย ปัดตานัง</t>
  </si>
  <si>
    <t>๒-๐๐๗</t>
  </si>
  <si>
    <t>ภูเบศธ์ อันทะชัย</t>
  </si>
  <si>
    <t>๒-๐๐๘</t>
  </si>
  <si>
    <t>ปฐวีกานต์ หอมมณี</t>
  </si>
  <si>
    <t>๒-๐๐๙</t>
  </si>
  <si>
    <t>รัฐพล นาใจคง</t>
  </si>
  <si>
    <t>๒-๐๑๐</t>
  </si>
  <si>
    <t>อธิป ขาวทอง</t>
  </si>
  <si>
    <t>๒-๐๑๑</t>
  </si>
  <si>
    <t>อชิรวิชญ์ ลุคำนึง</t>
  </si>
  <si>
    <t>หมู่ ๒ หมวด ๑</t>
  </si>
  <si>
    <t>๒-๐๑๒</t>
  </si>
  <si>
    <t>ชาญณรงค์ เลิศลัทธก</t>
  </si>
  <si>
    <t>๒-๐๑๓</t>
  </si>
  <si>
    <t>สุรศักดิ์ ขดภูเขียว</t>
  </si>
  <si>
    <t>๒-๐๑๔</t>
  </si>
  <si>
    <t>ธนกฤษฏิ์ เที่ยงบุญ</t>
  </si>
  <si>
    <t>๒-๐๑๕</t>
  </si>
  <si>
    <t>ณัฐพนธ์ ปัทมดิลก</t>
  </si>
  <si>
    <t>๒-๐๑๖</t>
  </si>
  <si>
    <t>อดิศร ทับทิม</t>
  </si>
  <si>
    <t>๒-๐๑๗</t>
  </si>
  <si>
    <t>สหภาพ วุฒิสาร</t>
  </si>
  <si>
    <t>๒-๐๑๘</t>
  </si>
  <si>
    <t>ณัฐวัฒน์ เหล่าวงษี</t>
  </si>
  <si>
    <t>๒-๐๑๙</t>
  </si>
  <si>
    <t>วรากร โคกระเวียง</t>
  </si>
  <si>
    <t>๒-๐๒๐</t>
  </si>
  <si>
    <t>ปริพัฒน์ แย้มบัวตูม</t>
  </si>
  <si>
    <t>๒-๐๒๑</t>
  </si>
  <si>
    <t>มงคล บุญชิต</t>
  </si>
  <si>
    <t>หมู่ ๓ หมวด ๑</t>
  </si>
  <si>
    <t>๒-๐๒๒</t>
  </si>
  <si>
    <t>มานะศักดิ์ ปราบพาลา</t>
  </si>
  <si>
    <t>๒-๐๒๓</t>
  </si>
  <si>
    <t>ภคมงคล ของหอม</t>
  </si>
  <si>
    <t>๒-๐๒๔</t>
  </si>
  <si>
    <t>อัศวิน วันเนาว์</t>
  </si>
  <si>
    <t>๒-๐๒๕</t>
  </si>
  <si>
    <t>เจษฎาภรณ์ ดวงกุณา</t>
  </si>
  <si>
    <t>๒-๐๒๖</t>
  </si>
  <si>
    <t>พัฒนพงษ์ นารอด</t>
  </si>
  <si>
    <t>๒-๐๒๗</t>
  </si>
  <si>
    <t>ธนบดินทร์ แก้วคง</t>
  </si>
  <si>
    <t>๒-๐๒๘</t>
  </si>
  <si>
    <t>พงษ์พัฒน์ สินชัยศรี</t>
  </si>
  <si>
    <t>๒-๐๒๙</t>
  </si>
  <si>
    <t>เสฎฐวุฒิ สิทธิจันทร์</t>
  </si>
  <si>
    <t>๒-๐๓๐</t>
  </si>
  <si>
    <t>วชิรวิทย์ เปลี่ยนศิลาทอง</t>
  </si>
  <si>
    <t>๒-๐๓๑</t>
  </si>
  <si>
    <t>ประภู สุตลาวดี</t>
  </si>
  <si>
    <t>หมู่ ๔ หมวด ๑</t>
  </si>
  <si>
    <t>๒-๐๓๒</t>
  </si>
  <si>
    <t>อภิวัฒน์ จันทร์สำโรง</t>
  </si>
  <si>
    <t>๒-๐๓๓</t>
  </si>
  <si>
    <t>เอกพงศ์ พุทธรักษา</t>
  </si>
  <si>
    <t>๒-๐๓๔</t>
  </si>
  <si>
    <t>พันธุ์พีระ กมลเสถียร</t>
  </si>
  <si>
    <t>๒-๐๓๕</t>
  </si>
  <si>
    <t>ชัชพล บุญมูสิก</t>
  </si>
  <si>
    <t>๒-๐๓๖</t>
  </si>
  <si>
    <t>อมเรศ ดาราสว่าง</t>
  </si>
  <si>
    <t>๒-๐๓๗</t>
  </si>
  <si>
    <t>รณชัย ไชยชาติ</t>
  </si>
  <si>
    <t>๒-๐๓๘</t>
  </si>
  <si>
    <t>อิสระ ขันเดช</t>
  </si>
  <si>
    <t>๒-๐๓๙</t>
  </si>
  <si>
    <t>ธิติวุฒิ นุชนารถ</t>
  </si>
  <si>
    <t>๒-๐๔๐</t>
  </si>
  <si>
    <t>ณัฐนนท์ ฮงมา</t>
  </si>
  <si>
    <t>๒-๐๔๑</t>
  </si>
  <si>
    <t>ธาวิน ขุนทอง</t>
  </si>
  <si>
    <t>หมู่ ๕ หมวด ๑</t>
  </si>
  <si>
    <t>๒-๐๔๒</t>
  </si>
  <si>
    <t>ภราดร ยางศิลา</t>
  </si>
  <si>
    <t>๒-๐๔๓</t>
  </si>
  <si>
    <t>อนิรุจณ์ ราษีมิน</t>
  </si>
  <si>
    <t>๒-๐๔๔</t>
  </si>
  <si>
    <t>สรวิศ บุบผาสังข์</t>
  </si>
  <si>
    <t>๒-๐๔๕</t>
  </si>
  <si>
    <t>ดิศพงษ์ แทนสูงเนิน</t>
  </si>
  <si>
    <t>๒-๐๔๖</t>
  </si>
  <si>
    <t>นที วาจาจิตร์</t>
  </si>
  <si>
    <t>๒-๐๔๗</t>
  </si>
  <si>
    <t>จรูณวิทย์ สมศรีสุข</t>
  </si>
  <si>
    <t>๒-๐๔๘</t>
  </si>
  <si>
    <t>อดุลวิทย์ เพียรักษา</t>
  </si>
  <si>
    <t>๒-๐๔๙</t>
  </si>
  <si>
    <t>ปอบุตร ลัดลอย</t>
  </si>
  <si>
    <t>๒-๐๕๐</t>
  </si>
  <si>
    <t>ธณกร ถนอมสัตย์</t>
  </si>
  <si>
    <t>๒-๐๕๑</t>
  </si>
  <si>
    <t>ภีรภัทร นัทธี</t>
  </si>
  <si>
    <t>๒-๐๕๒</t>
  </si>
  <si>
    <t>สมหวัง เขตนิมิตร</t>
  </si>
  <si>
    <t>หมู่ ๑ หมวด ๒</t>
  </si>
  <si>
    <t>๒-๐๕๓</t>
  </si>
  <si>
    <t>สรวิชญ์ จุลศักดิ์</t>
  </si>
  <si>
    <t>๒-๐๕๔</t>
  </si>
  <si>
    <t>กิตติศักดิ์ ปินะกัง</t>
  </si>
  <si>
    <t>๒-๐๕๕</t>
  </si>
  <si>
    <t>ภูริพัฒน์ ปะวะเสนัง</t>
  </si>
  <si>
    <t>๒-๐๕๖</t>
  </si>
  <si>
    <t>พุทธชาติ สีขุยอ้อด</t>
  </si>
  <si>
    <t>๒-๐๕๗</t>
  </si>
  <si>
    <t>ศิวกร มาตา</t>
  </si>
  <si>
    <t>๒-๐๕๘</t>
  </si>
  <si>
    <t>นฤดล ชัยวร</t>
  </si>
  <si>
    <t>๒-๐๕๙</t>
  </si>
  <si>
    <t>ณัฐพล สกุลเรืองศรี</t>
  </si>
  <si>
    <t>๒-๐๖๐</t>
  </si>
  <si>
    <t>อฎิพงศ์ บูรณะศิริ</t>
  </si>
  <si>
    <t>๒-๐๖๑</t>
  </si>
  <si>
    <t>ธานินทร์ แดนราชรัมย์</t>
  </si>
  <si>
    <t>๒-๐๖๒</t>
  </si>
  <si>
    <t>ปถมพงษ์ ปิโตลา</t>
  </si>
  <si>
    <t>๒-๐๖๓</t>
  </si>
  <si>
    <t>ธีรดนย์ ตีเสียง</t>
  </si>
  <si>
    <t>หมู่ ๒ หมวด ๒</t>
  </si>
  <si>
    <t>๒-๐๖๔</t>
  </si>
  <si>
    <t>สมภาร ร่มโพธิ์</t>
  </si>
  <si>
    <t>๒-๐๖๕</t>
  </si>
  <si>
    <t>ธีรภัทร พูลเพิ่ม</t>
  </si>
  <si>
    <t>๒-๐๖๖</t>
  </si>
  <si>
    <t>กฤษฎา คำปัตตา</t>
  </si>
  <si>
    <t>๒-๐๖๗</t>
  </si>
  <si>
    <t>สิทธิพงษ์ ไวสาหลง</t>
  </si>
  <si>
    <t>๒-๐๖๘</t>
  </si>
  <si>
    <t>ธรรมพล ศรีเวียง</t>
  </si>
  <si>
    <t>๒-๐๖๙</t>
  </si>
  <si>
    <t>กอบทรัพย์ บุญประดิษฐ</t>
  </si>
  <si>
    <t>๒-๐๗๐</t>
  </si>
  <si>
    <t>วัชรินทร์ แก้ววิจิตร์</t>
  </si>
  <si>
    <t>๒-๐๗๑</t>
  </si>
  <si>
    <t>ธรรณพรรณ ศรัณยูสกุล</t>
  </si>
  <si>
    <t>๒-๐๗๒</t>
  </si>
  <si>
    <t>ศุภากร รัตนสมบัติ</t>
  </si>
  <si>
    <t>๒-๐๗๓</t>
  </si>
  <si>
    <t>ณัฏฐพันธ์ หาฝ่ายเหนือ</t>
  </si>
  <si>
    <t>หมู่ ๓ หมวด ๒</t>
  </si>
  <si>
    <t>๒-๐๗๔</t>
  </si>
  <si>
    <t>ภานุเดช บุญธรรม</t>
  </si>
  <si>
    <t>๒-๐๗๕</t>
  </si>
  <si>
    <t>วศิน สิงห์ธงยาม</t>
  </si>
  <si>
    <t>๒-๐๗๖</t>
  </si>
  <si>
    <t>สุทธิชัย สอนเย็น</t>
  </si>
  <si>
    <t>๒-๐๗๗</t>
  </si>
  <si>
    <t>ภาณุพงศ์ พจน์ฉิมภาลี</t>
  </si>
  <si>
    <t>๒-๐๗๘</t>
  </si>
  <si>
    <t>ธีรวิทย์ บุรีศรี</t>
  </si>
  <si>
    <t>๒-๐๗๙</t>
  </si>
  <si>
    <t>ศุภกร แสงบัวท้าว</t>
  </si>
  <si>
    <t>๒-๐๘๐</t>
  </si>
  <si>
    <t>ปรมี เชื้อกุล</t>
  </si>
  <si>
    <t>๒-๐๘๑</t>
  </si>
  <si>
    <t>ไชยภัทร หลอดทอง</t>
  </si>
  <si>
    <t>๒-๐๘๒</t>
  </si>
  <si>
    <t>พีระพัฒน์ วิเสโส</t>
  </si>
  <si>
    <t>๒-๐๘๓</t>
  </si>
  <si>
    <t>ภาวิทย์ ตันติตยาพงษ์</t>
  </si>
  <si>
    <t>ลาออก</t>
  </si>
  <si>
    <t>หมู่ ๔ หมวด ๒</t>
  </si>
  <si>
    <t>๒-๐๘๔</t>
  </si>
  <si>
    <t>วรวัฒน์ กาญจนสิงห์</t>
  </si>
  <si>
    <t>๒-๐๘๕</t>
  </si>
  <si>
    <t>ยศภัทร รู้สุข</t>
  </si>
  <si>
    <t>๒-๐๘๖</t>
  </si>
  <si>
    <t>สรวิชญ์ สระทองอยู่</t>
  </si>
  <si>
    <t>๒-๐๘๗</t>
  </si>
  <si>
    <t>ชัยมงคล วังสาร</t>
  </si>
  <si>
    <t>๒-๐๘๘</t>
  </si>
  <si>
    <t>ปารเมศ สายสาหร่าย</t>
  </si>
  <si>
    <t>๒-๐๘๙</t>
  </si>
  <si>
    <t>ภูมินทร์ เหล่าหมวด</t>
  </si>
  <si>
    <t>๒-๐๙๐</t>
  </si>
  <si>
    <t>ชนะชล ภูจอมจิตร</t>
  </si>
  <si>
    <t>๒-๐๙๑</t>
  </si>
  <si>
    <t>นรวิชญ์ หงส์วิลัย</t>
  </si>
  <si>
    <t>๒-๐๙๒</t>
  </si>
  <si>
    <t>ปัญญา พันธุ์ประเสริฐ</t>
  </si>
  <si>
    <t>๒-๐๙๓</t>
  </si>
  <si>
    <t>ธีรภัทร เทศราช</t>
  </si>
  <si>
    <t>หมู่ ๕ หมวด ๒</t>
  </si>
  <si>
    <t>๒-๐๙๔</t>
  </si>
  <si>
    <t>กฤษณชัย สมนึก</t>
  </si>
  <si>
    <t>๒-๐๙๕</t>
  </si>
  <si>
    <t>พิชิต พรามนาม</t>
  </si>
  <si>
    <t>๒-๐๙๖</t>
  </si>
  <si>
    <t>พงศภัค คำมะสิงห์</t>
  </si>
  <si>
    <t>๒-๐๙๗</t>
  </si>
  <si>
    <t>ยศกร บุญศรี</t>
  </si>
  <si>
    <t>๒-๐๙๘</t>
  </si>
  <si>
    <t>นภัทร สิรธีมาโชต</t>
  </si>
  <si>
    <t>๒-๐๙๙</t>
  </si>
  <si>
    <t>ญาณวุฒิ วีระพันธ์</t>
  </si>
  <si>
    <t>๒-๑๐๐</t>
  </si>
  <si>
    <t>ยศสินทร พินิจกิจ</t>
  </si>
  <si>
    <t>๒-๑๐๑</t>
  </si>
  <si>
    <t>จิรพนธ์ อินทรกนิฏฐ์</t>
  </si>
  <si>
    <t>๒-๑๐๒</t>
  </si>
  <si>
    <t>จิตกร โพธิ์ศรี</t>
  </si>
  <si>
    <t>๒-๑๐๓</t>
  </si>
  <si>
    <t>พิทยา พรรณราย</t>
  </si>
  <si>
    <t>๒-๑๐๔</t>
  </si>
  <si>
    <t>ณภัทร ฤทธิ์มนตรี</t>
  </si>
  <si>
    <t>หมู่ ๑ หมวด ๓</t>
  </si>
  <si>
    <t>๒-๑๐๕</t>
  </si>
  <si>
    <t>นิธิ บุญทวี</t>
  </si>
  <si>
    <t>๒-๑๐๖</t>
  </si>
  <si>
    <t>ศุภสัณฑ์ จิรวรรณเอมอร</t>
  </si>
  <si>
    <t>๒-๑๐๗</t>
  </si>
  <si>
    <t>ชานนท์ ลายประดิษฐ์</t>
  </si>
  <si>
    <t>๒-๑๐๘</t>
  </si>
  <si>
    <t>ภาคภูมิ ผานาค</t>
  </si>
  <si>
    <t>๒-๑๐๙</t>
  </si>
  <si>
    <t>ศุภกร ละมูลภักดิ์</t>
  </si>
  <si>
    <t>๒-๑๑๐</t>
  </si>
  <si>
    <t>วีรภัทร ร่างเจริญ</t>
  </si>
  <si>
    <t>๒-๑๑๑</t>
  </si>
  <si>
    <t>ณรงค์ฤทธิ์ จรเกตุ</t>
  </si>
  <si>
    <t>๒-๑๑๒</t>
  </si>
  <si>
    <t>เพชรรัตน์ จวนเจริญ</t>
  </si>
  <si>
    <t>๒-๑๑๓</t>
  </si>
  <si>
    <t>ภูวดล ทางดี</t>
  </si>
  <si>
    <t>๒-๑๑๔</t>
  </si>
  <si>
    <t>พิพัฒน์พล คำภาพงษา</t>
  </si>
  <si>
    <t>๒-๑๑๕</t>
  </si>
  <si>
    <t>กรธวัช ปรางจันทร์</t>
  </si>
  <si>
    <t>หมู่ ๒ หมวด ๓</t>
  </si>
  <si>
    <t>๒-๑๑๖</t>
  </si>
  <si>
    <t>ศรชัย ปะภาวะโก</t>
  </si>
  <si>
    <t>๒-๑๑๗</t>
  </si>
  <si>
    <t>ครรชิต ลัดลอย</t>
  </si>
  <si>
    <t>๒-๑๑๘</t>
  </si>
  <si>
    <t>ศศธร โทอาสา</t>
  </si>
  <si>
    <t>๒-๑๑๙</t>
  </si>
  <si>
    <t>จักรฏิยุทธ สันตะศรี</t>
  </si>
  <si>
    <t>๒-๑๒๐</t>
  </si>
  <si>
    <t>ภูมิปราชญ์ จารุแพทย์</t>
  </si>
  <si>
    <t>๒-๑๒๑</t>
  </si>
  <si>
    <t>สิทธิวัตร ขนันไทย</t>
  </si>
  <si>
    <t>๒-๑๒๒</t>
  </si>
  <si>
    <t>พลวัต รัตนภักดี</t>
  </si>
  <si>
    <t>๒-๑๒๓</t>
  </si>
  <si>
    <t>กฤษฎา อัศวภูมิ</t>
  </si>
  <si>
    <t>๒-๑๒๔</t>
  </si>
  <si>
    <t>ยุคลธร ศรีจังหวัด</t>
  </si>
  <si>
    <t>๒-๑๒๕</t>
  </si>
  <si>
    <t>ทรัพย์สมบูรณ์ จงปลูกกลาง</t>
  </si>
  <si>
    <t>หมู่ ๓ หมวด ๓</t>
  </si>
  <si>
    <t>๒-๑๒๖</t>
  </si>
  <si>
    <t>ธนภัทร์ ปริเวทกานนท์</t>
  </si>
  <si>
    <t>๒-๑๒๗</t>
  </si>
  <si>
    <t>พิพัฒน์ ใจยงค์</t>
  </si>
  <si>
    <t>๒-๑๒๘</t>
  </si>
  <si>
    <t>ณัฐวัฒน์ โสภา</t>
  </si>
  <si>
    <t>๒-๑๒๙</t>
  </si>
  <si>
    <t>ทวิชาติ ศรีตระเวร</t>
  </si>
  <si>
    <t>๒-๑๓๐</t>
  </si>
  <si>
    <t>จิรสิน ศิริสาคร</t>
  </si>
  <si>
    <t>๒-๑๓๑</t>
  </si>
  <si>
    <t>สุทธิชาติ เสาะใสย</t>
  </si>
  <si>
    <t>๒-๑๓๒</t>
  </si>
  <si>
    <t>วานิชกุล มงคลนำ</t>
  </si>
  <si>
    <t>๒-๑๓๓</t>
  </si>
  <si>
    <t>อินทนนท์ ธนาธัญวิวัฒน์</t>
  </si>
  <si>
    <t>๒-๑๓๔</t>
  </si>
  <si>
    <t>วีระยุทธ ปันชูน</t>
  </si>
  <si>
    <t>๒-๑๓๕</t>
  </si>
  <si>
    <t>นพสิทธิ์ เพิ่มมิตร</t>
  </si>
  <si>
    <t>หมู่ ๔ หมวด ๓</t>
  </si>
  <si>
    <t>๒-๑๓๖</t>
  </si>
  <si>
    <t>ชยุตม์ ศรีวัฒนพงศ์</t>
  </si>
  <si>
    <t>๒-๑๓๗</t>
  </si>
  <si>
    <t>ธนพล ทิพประมวล</t>
  </si>
  <si>
    <t>๒-๑๓๘</t>
  </si>
  <si>
    <t>ตฤณปณต มากอยู่ดี</t>
  </si>
  <si>
    <t>๒-๑๓๙</t>
  </si>
  <si>
    <t>นรวิทย์ ทวีสิน</t>
  </si>
  <si>
    <t>๒-๑๔๐</t>
  </si>
  <si>
    <t>สรวิศ หงษ์ศรี</t>
  </si>
  <si>
    <t>๒-๑๔๑</t>
  </si>
  <si>
    <t>กิตติศักดิ์ สารพันธุ์</t>
  </si>
  <si>
    <t>๒-๑๔๒</t>
  </si>
  <si>
    <t>วีระพล ล้ำเลิศ</t>
  </si>
  <si>
    <t>๒-๑๔๓</t>
  </si>
  <si>
    <t>อธิป พันธ์สอาด</t>
  </si>
  <si>
    <t>๒-๑๔๔</t>
  </si>
  <si>
    <t>รฐนนท์ พงษ์นุกูล</t>
  </si>
  <si>
    <t>๒-๑๔๕</t>
  </si>
  <si>
    <t>ธรรมรัตน์ หัดเคลือบ</t>
  </si>
  <si>
    <t>หมู่ ๕ หมวด ๓</t>
  </si>
  <si>
    <t>๒-๑๔๖</t>
  </si>
  <si>
    <t>ศุภกร เอกพจน์</t>
  </si>
  <si>
    <t>๒-๑๔๗</t>
  </si>
  <si>
    <t>ทวีโชค จำรัสพันธุ์</t>
  </si>
  <si>
    <t>๒-๑๔๘</t>
  </si>
  <si>
    <t>สรศักดิ์ สินภักดี</t>
  </si>
  <si>
    <t>๒-๑๔๙</t>
  </si>
  <si>
    <t>พีระพงษ์ ทองคง</t>
  </si>
  <si>
    <t>๒-๑๕๐</t>
  </si>
  <si>
    <t>ภานุพงศ์ สิทธิสอน</t>
  </si>
  <si>
    <t>๒-๑๕๑</t>
  </si>
  <si>
    <t>มนพัทธ์ เที่ยงธรรม</t>
  </si>
  <si>
    <t>๒-๑๕๒</t>
  </si>
  <si>
    <t>มงคล ปัญญาวงศ์</t>
  </si>
  <si>
    <t>๒-๑๕๓</t>
  </si>
  <si>
    <t>ไรวินท์ วงณะลา</t>
  </si>
  <si>
    <t>๒-๑๕๔</t>
  </si>
  <si>
    <t>ถิรวุฒิ เนตรเหมือนทิพย์</t>
  </si>
  <si>
    <t>๒-๑๕๕</t>
  </si>
  <si>
    <t>ภูบดินทร์ ประสงค์</t>
  </si>
  <si>
    <t>๒-๑๕๖</t>
  </si>
  <si>
    <t>จีรวัฒน์ เขื่อนสอง</t>
  </si>
  <si>
    <t>หมู่ ๑ หมวด ๔</t>
  </si>
  <si>
    <t>๒-๑๕๗</t>
  </si>
  <si>
    <t>วงศกร กายนาคา</t>
  </si>
  <si>
    <t>๒-๑๕๘</t>
  </si>
  <si>
    <t>จักรภัทร แสงสุรินทร์</t>
  </si>
  <si>
    <t>๒-๑๕๙</t>
  </si>
  <si>
    <t>ชนพล สังสีแก้ว</t>
  </si>
  <si>
    <t>๒-๑๖๐</t>
  </si>
  <si>
    <t>ณรงค์พล จันทะขึ้น</t>
  </si>
  <si>
    <t>๒-๑๖๑</t>
  </si>
  <si>
    <t>ทรงทองคำ สงแสง</t>
  </si>
  <si>
    <t>๒-๑๖๒</t>
  </si>
  <si>
    <t>ดนุพร ป่าหญ้า</t>
  </si>
  <si>
    <t>๒-๑๖๓</t>
  </si>
  <si>
    <t>อดิเรก อ้ายติ๊บ</t>
  </si>
  <si>
    <t>๒-๑๖๔</t>
  </si>
  <si>
    <t>จรัสรักษ์ นาขมิ้น</t>
  </si>
  <si>
    <t>๒-๑๖๕</t>
  </si>
  <si>
    <t>ภูริพัฒน์ ลครไทย</t>
  </si>
  <si>
    <t>๒-๑๖๖</t>
  </si>
  <si>
    <t>ณัฏฐชัย ฉลองกิจไพศาล</t>
  </si>
  <si>
    <t>๒-๑๖๗</t>
  </si>
  <si>
    <t>ศุภณัฐ ทิพยศ</t>
  </si>
  <si>
    <t>หมู่ ๒ หมวด ๔</t>
  </si>
  <si>
    <t>๒-๑๖๘</t>
  </si>
  <si>
    <t>ธนกร มหาบุตร</t>
  </si>
  <si>
    <t>๒-๑๖๙</t>
  </si>
  <si>
    <t>ปธานพร ขำแป้น</t>
  </si>
  <si>
    <t>๒-๑๗๐</t>
  </si>
  <si>
    <t>ทักษิณ รัตนา</t>
  </si>
  <si>
    <t>๒-๑๗๑</t>
  </si>
  <si>
    <t>กวิน แสนทวีสุข</t>
  </si>
  <si>
    <t>๒-๑๗๒</t>
  </si>
  <si>
    <t>พิพรรธ ปัญญามี</t>
  </si>
  <si>
    <t>๒-๑๗๓</t>
  </si>
  <si>
    <t>พงศภัค บุญก่อ</t>
  </si>
  <si>
    <t>๒-๑๗๔</t>
  </si>
  <si>
    <t>เจริญชัย โพธิสัตย์</t>
  </si>
  <si>
    <t>๒-๑๗๕</t>
  </si>
  <si>
    <t>หิรัญภพ วรวงษ์</t>
  </si>
  <si>
    <t>๒-๑๗๖</t>
  </si>
  <si>
    <t>ชญานนท์ โถแก้ว</t>
  </si>
  <si>
    <t>๒-๑๗๗</t>
  </si>
  <si>
    <t>วันจักรี เกื้อกุดลิง</t>
  </si>
  <si>
    <t>หมู่ ๓ หมวด ๔</t>
  </si>
  <si>
    <t>๒-๑๗๘</t>
  </si>
  <si>
    <t>ก้องกิดากร ก้อนเพชร</t>
  </si>
  <si>
    <t>๒-๑๗๙</t>
  </si>
  <si>
    <t>ภูวดล กองแก้ว</t>
  </si>
  <si>
    <t>๒-๑๘๐</t>
  </si>
  <si>
    <t>ชาญฤทธิ์ ท้าวแก้ว</t>
  </si>
  <si>
    <t>๒-๑๘๑</t>
  </si>
  <si>
    <t>อภิเดช บรเพ็ชร</t>
  </si>
  <si>
    <t>๒-๑๘๒</t>
  </si>
  <si>
    <t>พราหมณ์ ทวีกูล</t>
  </si>
  <si>
    <t>๒-๑๘๓</t>
  </si>
  <si>
    <t>ณัติพล ศรีทะวงษ์</t>
  </si>
  <si>
    <t>๒-๑๘๔</t>
  </si>
  <si>
    <t>พิชรัตน์ สุวรรณไตร</t>
  </si>
  <si>
    <t>๒-๑๘๕</t>
  </si>
  <si>
    <t>ศุภวิชญ์ นามราช</t>
  </si>
  <si>
    <t>๒-๑๘๖</t>
  </si>
  <si>
    <t>มหามงคล เสนารักษ์</t>
  </si>
  <si>
    <t>๒-๑๘๗</t>
  </si>
  <si>
    <t>เขตตะวัน หอมเทียม</t>
  </si>
  <si>
    <t>หมู่ ๔ หมวด ๔</t>
  </si>
  <si>
    <t>๒-๑๘๘</t>
  </si>
  <si>
    <t>ปิยวัฒน์ มะลิวัลย์</t>
  </si>
  <si>
    <t>๒-๑๘๙</t>
  </si>
  <si>
    <t>พุทธพงษ์ เกี้ยวมุก</t>
  </si>
  <si>
    <t>๒-๑๙๐</t>
  </si>
  <si>
    <t>วัยวัฒน์ หมื่นคำยอง</t>
  </si>
  <si>
    <t>๒-๑๙๑</t>
  </si>
  <si>
    <t>วีรภัทร พรมโคตร</t>
  </si>
  <si>
    <t>๒-๑๙๒</t>
  </si>
  <si>
    <t>ปฐมพร ยิ่งแก้ว</t>
  </si>
  <si>
    <t>๒-๑๙๓</t>
  </si>
  <si>
    <t>กันติทัต เงินดี</t>
  </si>
  <si>
    <t>๒-๑๙๔</t>
  </si>
  <si>
    <t>พุฒิเมธ คำสุข</t>
  </si>
  <si>
    <t>๒-๑๙๕</t>
  </si>
  <si>
    <t>รวี วรวงค์</t>
  </si>
  <si>
    <t>๒-๑๙๖</t>
  </si>
  <si>
    <t>ทีรภัทร บุญยอม</t>
  </si>
  <si>
    <t>๒-๑๙๗</t>
  </si>
  <si>
    <t>นันธวัช จันท์ทอง</t>
  </si>
  <si>
    <t>หมู่ ๕ หมวด ๔</t>
  </si>
  <si>
    <t>๒-๑๙๘</t>
  </si>
  <si>
    <t>ชัยวัฒน์ ยามมี</t>
  </si>
  <si>
    <t>๒-๑๙๙</t>
  </si>
  <si>
    <t>ชินวัตร มีอำนาจ</t>
  </si>
  <si>
    <t>๒-๒๐๐</t>
  </si>
  <si>
    <t>ธีระพงศ์ ปรินทอง</t>
  </si>
  <si>
    <t>๒-๒๐๑</t>
  </si>
  <si>
    <t>ภัคพล ผุภูเขียว</t>
  </si>
  <si>
    <t>๒-๒๐๒</t>
  </si>
  <si>
    <t>อภิวิชญ์ รัตนสุวรรณ</t>
  </si>
  <si>
    <t>๒-๒๐๓</t>
  </si>
  <si>
    <t>ภีมรภัทร แสงเพิ่ม</t>
  </si>
  <si>
    <t>๒-๒๐๔</t>
  </si>
  <si>
    <t>ภาณุ สุรสรณ์</t>
  </si>
  <si>
    <t>๒-๒๐๕</t>
  </si>
  <si>
    <t>ธีรวัฒน์ เคนแสนโคตร</t>
  </si>
  <si>
    <t>๒-๒๐๖</t>
  </si>
  <si>
    <t>โสฬส นามประเส</t>
  </si>
  <si>
    <t>๒-๒๐๗</t>
  </si>
  <si>
    <t>สิทธิพล สาธุการ</t>
  </si>
  <si>
    <t xml:space="preserve">ณ วันที่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</si>
</sst>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>
    <font>
      <sz val="11"/>
      <color theme="1"/>
      <name val="Calibri"/>
      <family val="2"/>
      <charset val="1"/>
    </font>
    <font>
      <b/>
      <sz val="14"/>
      <color rgb="FF1F4E78"/>
      <name val="Sarabun"/>
      <charset val="1"/>
    </font>
    <font>
      <b/>
      <sz val="12"/>
      <color theme="6"/>
      <name val="Sarabun"/>
      <charset val="222"/>
    </font>
    <font>
      <b/>
      <sz val="12"/>
      <color rgb="FF1F4E78"/>
      <name val="Sarabun"/>
      <charset val="1"/>
    </font>
    <font>
      <b/>
      <sz val="12"/>
      <color rgb="FF375623"/>
      <name val="Sarabun"/>
      <charset val="1"/>
    </font>
    <font>
      <b/>
      <sz val="10"/>
      <color rgb="FFFFFFFF"/>
      <name val="Sarabun"/>
      <charset val="1"/>
    </font>
    <font>
      <b/>
      <sz val="10"/>
      <color rgb="FF1F4E78"/>
      <name val="Sarabun"/>
      <charset val="1"/>
    </font>
    <font>
      <sz val="10"/>
      <name val="Sarabun"/>
      <charset val="1"/>
    </font>
    <font>
      <b/>
      <sz val="10"/>
      <name val="Sarabun"/>
      <charset val="1"/>
    </font>
    <font>
      <sz val="10"/>
      <color theme="5"/>
      <name val="Sarabun"/>
      <charset val="1"/>
    </font>
    <font>
      <b/>
      <sz val="10"/>
      <color theme="5"/>
      <name val="Sarabun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3F9EE"/>
      </patternFill>
    </fill>
    <fill>
      <patternFill patternType="solid">
        <fgColor rgb="FF1F4E78"/>
        <bgColor rgb="FF003366"/>
      </patternFill>
    </fill>
    <fill>
      <patternFill patternType="solid">
        <fgColor rgb="FFF2F6FC"/>
        <bgColor rgb="FFF3F9EE"/>
      </patternFill>
    </fill>
    <fill>
      <patternFill patternType="solid">
        <fgColor rgb="FFF3F9EE"/>
        <bgColor rgb="FFF2F6F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C4DE"/>
      </left>
      <right style="thin">
        <color rgb="FFB0C4DE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165" fontId="10" fillId="0" borderId="4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4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65" fontId="8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3F9EE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B0C4DE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K230"/>
  <sheetViews>
    <sheetView tabSelected="1" zoomScaleNormal="100" workbookViewId="0">
      <selection activeCell="J18" sqref="J18"/>
    </sheetView>
  </sheetViews>
  <sheetFormatPr defaultColWidth="8.7109375" defaultRowHeight="15"/>
  <cols>
    <col min="1" max="1" width="7" customWidth="1"/>
    <col min="2" max="2" width="11" customWidth="1"/>
    <col min="3" max="3" width="25" customWidth="1"/>
    <col min="4" max="6" width="11" customWidth="1"/>
    <col min="7" max="7" width="22" customWidth="1"/>
    <col min="8" max="9" width="13" customWidth="1"/>
    <col min="10" max="10" width="22" customWidth="1"/>
    <col min="11" max="11" width="18" customWidth="1"/>
  </cols>
  <sheetData>
    <row r="1" spans="1:11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customHeight="1">
      <c r="A2" s="5"/>
      <c r="B2" s="5"/>
      <c r="C2" s="5"/>
      <c r="D2" s="5"/>
      <c r="E2" s="4" t="s">
        <v>1</v>
      </c>
      <c r="F2" s="4"/>
      <c r="G2" s="4"/>
      <c r="H2" s="3" t="s">
        <v>2</v>
      </c>
      <c r="I2" s="3"/>
      <c r="J2" s="3"/>
      <c r="K2" s="7"/>
    </row>
    <row r="3" spans="1:11" ht="27.75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7</v>
      </c>
      <c r="I3" s="8" t="s">
        <v>8</v>
      </c>
      <c r="J3" s="8" t="s">
        <v>9</v>
      </c>
      <c r="K3" s="8" t="s">
        <v>10</v>
      </c>
    </row>
    <row r="4" spans="1:11" ht="19.5" customHeight="1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9.5" customHeight="1">
      <c r="A5" s="9">
        <v>1</v>
      </c>
      <c r="B5" s="9" t="s">
        <v>12</v>
      </c>
      <c r="C5" s="10" t="s">
        <v>13</v>
      </c>
      <c r="D5" s="11">
        <v>190</v>
      </c>
      <c r="E5" s="12">
        <v>60</v>
      </c>
      <c r="F5" s="13">
        <f t="shared" ref="F5:F15" si="0">IF(AND(ISNUMBER(D5), ISNUMBER(E5), D5&gt;0), E5/((D5/100)^2), "")</f>
        <v>16.62049861495845</v>
      </c>
      <c r="G5" s="14" t="str">
        <f t="shared" ref="G5:G15" si="1">IF(F5="","",IF(F5&lt;18.5,"ผอมเกินไป",IF(F5&lt;23,"สมส่วน (ปกติ)",IF(F5&lt;25,"น้ำหนักเกิน (ท้วม)",IF(F5&lt;30,"อ้วนระดับ 1","อ้วนระดับ 2 (อ้วนมาก)")))))</f>
        <v>ผอมเกินไป</v>
      </c>
      <c r="H5" s="15">
        <v>61</v>
      </c>
      <c r="I5" s="16">
        <f t="shared" ref="I5:I15" si="2">IF(AND(ISNUMBER(D5), ISNUMBER(H5), D5&gt;0), H5/((D5/100)^2), "")</f>
        <v>16.897506925207757</v>
      </c>
      <c r="J5" s="17" t="str">
        <f t="shared" ref="J5:J15" si="3">IF(I5="","",IF(I5&lt;18.5,"ผอมเกินไป",IF(I5&lt;23,"สมส่วน (ปกติ)",IF(I5&lt;25,"น้ำหนักเกิน (ท้วม)",IF(I5&lt;30,"อ้วนระดับ 1","อ้วนระดับ 2 (อ้วนมาก)")))))</f>
        <v>ผอมเกินไป</v>
      </c>
      <c r="K5" s="10"/>
    </row>
    <row r="6" spans="1:11" ht="19.5" customHeight="1">
      <c r="A6" s="9">
        <v>2</v>
      </c>
      <c r="B6" s="9" t="s">
        <v>14</v>
      </c>
      <c r="C6" s="10" t="s">
        <v>15</v>
      </c>
      <c r="D6" s="11">
        <v>185</v>
      </c>
      <c r="E6" s="12">
        <v>72</v>
      </c>
      <c r="F6" s="13">
        <f t="shared" si="0"/>
        <v>21.037253469685901</v>
      </c>
      <c r="G6" s="14" t="str">
        <f t="shared" si="1"/>
        <v>สมส่วน (ปกติ)</v>
      </c>
      <c r="H6" s="15">
        <v>75</v>
      </c>
      <c r="I6" s="16">
        <f t="shared" si="2"/>
        <v>21.913805697589478</v>
      </c>
      <c r="J6" s="17" t="str">
        <f t="shared" si="3"/>
        <v>สมส่วน (ปกติ)</v>
      </c>
      <c r="K6" s="10"/>
    </row>
    <row r="7" spans="1:11" ht="19.5" customHeight="1">
      <c r="A7" s="9">
        <v>3</v>
      </c>
      <c r="B7" s="9" t="s">
        <v>16</v>
      </c>
      <c r="C7" s="10" t="s">
        <v>17</v>
      </c>
      <c r="D7" s="11">
        <v>181</v>
      </c>
      <c r="E7" s="12">
        <v>66</v>
      </c>
      <c r="F7" s="13">
        <f t="shared" si="0"/>
        <v>20.145905192149201</v>
      </c>
      <c r="G7" s="14" t="str">
        <f t="shared" si="1"/>
        <v>สมส่วน (ปกติ)</v>
      </c>
      <c r="H7" s="15">
        <v>67</v>
      </c>
      <c r="I7" s="16">
        <f t="shared" si="2"/>
        <v>20.451146179909038</v>
      </c>
      <c r="J7" s="17" t="str">
        <f t="shared" si="3"/>
        <v>สมส่วน (ปกติ)</v>
      </c>
      <c r="K7" s="10"/>
    </row>
    <row r="8" spans="1:11" ht="19.5" customHeight="1">
      <c r="A8" s="9">
        <v>4</v>
      </c>
      <c r="B8" s="9" t="s">
        <v>18</v>
      </c>
      <c r="C8" s="10" t="s">
        <v>19</v>
      </c>
      <c r="D8" s="11">
        <v>180</v>
      </c>
      <c r="E8" s="12">
        <v>77</v>
      </c>
      <c r="F8" s="13">
        <f t="shared" si="0"/>
        <v>23.76543209876543</v>
      </c>
      <c r="G8" s="14" t="str">
        <f t="shared" si="1"/>
        <v>น้ำหนักเกิน (ท้วม)</v>
      </c>
      <c r="H8" s="15">
        <v>78</v>
      </c>
      <c r="I8" s="16">
        <f t="shared" si="2"/>
        <v>24.074074074074073</v>
      </c>
      <c r="J8" s="17" t="str">
        <f t="shared" si="3"/>
        <v>น้ำหนักเกิน (ท้วม)</v>
      </c>
      <c r="K8" s="10"/>
    </row>
    <row r="9" spans="1:11" ht="19.5" customHeight="1">
      <c r="A9" s="9">
        <v>5</v>
      </c>
      <c r="B9" s="9" t="s">
        <v>20</v>
      </c>
      <c r="C9" s="10" t="s">
        <v>21</v>
      </c>
      <c r="D9" s="11">
        <v>184</v>
      </c>
      <c r="E9" s="12">
        <v>54</v>
      </c>
      <c r="F9" s="13">
        <f t="shared" si="0"/>
        <v>15.949905482041586</v>
      </c>
      <c r="G9" s="14" t="str">
        <f t="shared" si="1"/>
        <v>ผอมเกินไป</v>
      </c>
      <c r="H9" s="15">
        <v>55</v>
      </c>
      <c r="I9" s="16">
        <f t="shared" si="2"/>
        <v>16.245274102079396</v>
      </c>
      <c r="J9" s="17" t="str">
        <f t="shared" si="3"/>
        <v>ผอมเกินไป</v>
      </c>
      <c r="K9" s="10"/>
    </row>
    <row r="10" spans="1:11" ht="19.5" customHeight="1">
      <c r="A10" s="9">
        <v>6</v>
      </c>
      <c r="B10" s="9" t="s">
        <v>22</v>
      </c>
      <c r="C10" s="10" t="s">
        <v>23</v>
      </c>
      <c r="D10" s="11">
        <v>184</v>
      </c>
      <c r="E10" s="12">
        <v>85</v>
      </c>
      <c r="F10" s="13">
        <f t="shared" si="0"/>
        <v>25.10633270321361</v>
      </c>
      <c r="G10" s="14" t="str">
        <f t="shared" si="1"/>
        <v>อ้วนระดับ 1</v>
      </c>
      <c r="H10" s="15">
        <v>84</v>
      </c>
      <c r="I10" s="16">
        <f t="shared" si="2"/>
        <v>24.810964083175801</v>
      </c>
      <c r="J10" s="17" t="str">
        <f t="shared" si="3"/>
        <v>น้ำหนักเกิน (ท้วม)</v>
      </c>
      <c r="K10" s="10"/>
    </row>
    <row r="11" spans="1:11" ht="19.5" customHeight="1">
      <c r="A11" s="9">
        <v>7</v>
      </c>
      <c r="B11" s="9" t="s">
        <v>24</v>
      </c>
      <c r="C11" s="10" t="s">
        <v>25</v>
      </c>
      <c r="D11" s="11">
        <v>180</v>
      </c>
      <c r="E11" s="12">
        <v>71</v>
      </c>
      <c r="F11" s="13">
        <f t="shared" si="0"/>
        <v>21.913580246913579</v>
      </c>
      <c r="G11" s="14" t="str">
        <f t="shared" si="1"/>
        <v>สมส่วน (ปกติ)</v>
      </c>
      <c r="H11" s="15">
        <v>70</v>
      </c>
      <c r="I11" s="16">
        <f t="shared" si="2"/>
        <v>21.604938271604937</v>
      </c>
      <c r="J11" s="17" t="str">
        <f t="shared" si="3"/>
        <v>สมส่วน (ปกติ)</v>
      </c>
      <c r="K11" s="10"/>
    </row>
    <row r="12" spans="1:11" ht="19.5" customHeight="1">
      <c r="A12" s="9">
        <v>8</v>
      </c>
      <c r="B12" s="9" t="s">
        <v>26</v>
      </c>
      <c r="C12" s="10" t="s">
        <v>27</v>
      </c>
      <c r="D12" s="11">
        <v>179</v>
      </c>
      <c r="E12" s="12">
        <v>94</v>
      </c>
      <c r="F12" s="13">
        <f t="shared" si="0"/>
        <v>29.337411441590461</v>
      </c>
      <c r="G12" s="14" t="str">
        <f t="shared" si="1"/>
        <v>อ้วนระดับ 1</v>
      </c>
      <c r="H12" s="15">
        <v>92</v>
      </c>
      <c r="I12" s="16">
        <f t="shared" si="2"/>
        <v>28.713211198152369</v>
      </c>
      <c r="J12" s="17" t="str">
        <f t="shared" si="3"/>
        <v>อ้วนระดับ 1</v>
      </c>
      <c r="K12" s="10"/>
    </row>
    <row r="13" spans="1:11" ht="19.5" customHeight="1">
      <c r="A13" s="9">
        <v>9</v>
      </c>
      <c r="B13" s="9" t="s">
        <v>28</v>
      </c>
      <c r="C13" s="10" t="s">
        <v>29</v>
      </c>
      <c r="D13" s="11">
        <v>178</v>
      </c>
      <c r="E13" s="12">
        <v>77</v>
      </c>
      <c r="F13" s="13">
        <f t="shared" si="0"/>
        <v>24.302487059714682</v>
      </c>
      <c r="G13" s="14" t="str">
        <f t="shared" si="1"/>
        <v>น้ำหนักเกิน (ท้วม)</v>
      </c>
      <c r="H13" s="15">
        <v>76</v>
      </c>
      <c r="I13" s="16">
        <f t="shared" si="2"/>
        <v>23.98687034465345</v>
      </c>
      <c r="J13" s="17" t="str">
        <f t="shared" si="3"/>
        <v>น้ำหนักเกิน (ท้วม)</v>
      </c>
      <c r="K13" s="10"/>
    </row>
    <row r="14" spans="1:11" ht="19.5" customHeight="1">
      <c r="A14" s="9">
        <v>10</v>
      </c>
      <c r="B14" s="9" t="s">
        <v>30</v>
      </c>
      <c r="C14" s="10" t="s">
        <v>31</v>
      </c>
      <c r="D14" s="11">
        <v>177</v>
      </c>
      <c r="E14" s="12">
        <v>70</v>
      </c>
      <c r="F14" s="13">
        <f t="shared" si="0"/>
        <v>22.343515592581952</v>
      </c>
      <c r="G14" s="14" t="str">
        <f t="shared" si="1"/>
        <v>สมส่วน (ปกติ)</v>
      </c>
      <c r="H14" s="15">
        <v>70</v>
      </c>
      <c r="I14" s="16">
        <f t="shared" si="2"/>
        <v>22.343515592581952</v>
      </c>
      <c r="J14" s="17" t="str">
        <f t="shared" si="3"/>
        <v>สมส่วน (ปกติ)</v>
      </c>
      <c r="K14" s="10"/>
    </row>
    <row r="15" spans="1:11" ht="19.5" customHeight="1">
      <c r="A15" s="9">
        <v>11</v>
      </c>
      <c r="B15" s="9" t="s">
        <v>32</v>
      </c>
      <c r="C15" s="10" t="s">
        <v>33</v>
      </c>
      <c r="D15" s="11">
        <v>176</v>
      </c>
      <c r="E15" s="12">
        <v>71</v>
      </c>
      <c r="F15" s="13">
        <f t="shared" si="0"/>
        <v>22.920971074380166</v>
      </c>
      <c r="G15" s="14" t="str">
        <f t="shared" si="1"/>
        <v>สมส่วน (ปกติ)</v>
      </c>
      <c r="H15" s="15">
        <v>70</v>
      </c>
      <c r="I15" s="16">
        <f t="shared" si="2"/>
        <v>22.598140495867771</v>
      </c>
      <c r="J15" s="17" t="str">
        <f t="shared" si="3"/>
        <v>สมส่วน (ปกติ)</v>
      </c>
      <c r="K15" s="10"/>
    </row>
    <row r="16" spans="1:11" ht="19.5" customHeight="1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9.5" customHeight="1">
      <c r="A17" s="9">
        <v>12</v>
      </c>
      <c r="B17" s="9" t="s">
        <v>35</v>
      </c>
      <c r="C17" s="10" t="s">
        <v>36</v>
      </c>
      <c r="D17" s="11">
        <v>182</v>
      </c>
      <c r="E17" s="12">
        <v>72</v>
      </c>
      <c r="F17" s="13">
        <f t="shared" ref="F17:F26" si="4">IF(AND(ISNUMBER(D17), ISNUMBER(E17), D17&gt;0), E17/((D17/100)^2), "")</f>
        <v>21.736505252988767</v>
      </c>
      <c r="G17" s="14" t="str">
        <f t="shared" ref="G17:G26" si="5">IF(F17="","",IF(F17&lt;18.5,"ผอมเกินไป",IF(F17&lt;23,"สมส่วน (ปกติ)",IF(F17&lt;25,"น้ำหนักเกิน (ท้วม)",IF(F17&lt;30,"อ้วนระดับ 1","อ้วนระดับ 2 (อ้วนมาก)")))))</f>
        <v>สมส่วน (ปกติ)</v>
      </c>
      <c r="H17" s="15">
        <v>73</v>
      </c>
      <c r="I17" s="16">
        <f t="shared" ref="I17:I26" si="6">IF(AND(ISNUMBER(D17), ISNUMBER(H17), D17&gt;0), H17/((D17/100)^2), "")</f>
        <v>22.03840115928028</v>
      </c>
      <c r="J17" s="17" t="str">
        <f t="shared" ref="J17:J26" si="7">IF(I17="","",IF(I17&lt;18.5,"ผอมเกินไป",IF(I17&lt;23,"สมส่วน (ปกติ)",IF(I17&lt;25,"น้ำหนักเกิน (ท้วม)",IF(I17&lt;30,"อ้วนระดับ 1","อ้วนระดับ 2 (อ้วนมาก)")))))</f>
        <v>สมส่วน (ปกติ)</v>
      </c>
      <c r="K17" s="10"/>
    </row>
    <row r="18" spans="1:11" ht="19.5" customHeight="1">
      <c r="A18" s="9">
        <v>13</v>
      </c>
      <c r="B18" s="9" t="s">
        <v>37</v>
      </c>
      <c r="C18" s="10" t="s">
        <v>38</v>
      </c>
      <c r="D18" s="11">
        <v>184</v>
      </c>
      <c r="E18" s="12">
        <v>74</v>
      </c>
      <c r="F18" s="13">
        <f t="shared" si="4"/>
        <v>21.857277882797732</v>
      </c>
      <c r="G18" s="14" t="str">
        <f t="shared" si="5"/>
        <v>สมส่วน (ปกติ)</v>
      </c>
      <c r="H18" s="15">
        <v>73</v>
      </c>
      <c r="I18" s="16">
        <f t="shared" si="6"/>
        <v>21.561909262759922</v>
      </c>
      <c r="J18" s="17" t="str">
        <f t="shared" si="7"/>
        <v>สมส่วน (ปกติ)</v>
      </c>
      <c r="K18" s="10"/>
    </row>
    <row r="19" spans="1:11" ht="19.5" customHeight="1">
      <c r="A19" s="9">
        <v>14</v>
      </c>
      <c r="B19" s="9" t="s">
        <v>39</v>
      </c>
      <c r="C19" s="10" t="s">
        <v>40</v>
      </c>
      <c r="D19" s="11">
        <v>183</v>
      </c>
      <c r="E19" s="12">
        <v>66</v>
      </c>
      <c r="F19" s="13">
        <f t="shared" si="4"/>
        <v>19.707963809011911</v>
      </c>
      <c r="G19" s="14" t="str">
        <f t="shared" si="5"/>
        <v>สมส่วน (ปกติ)</v>
      </c>
      <c r="H19" s="15">
        <v>67</v>
      </c>
      <c r="I19" s="16">
        <f t="shared" si="6"/>
        <v>20.006569321269669</v>
      </c>
      <c r="J19" s="17" t="str">
        <f t="shared" si="7"/>
        <v>สมส่วน (ปกติ)</v>
      </c>
      <c r="K19" s="10"/>
    </row>
    <row r="20" spans="1:11" ht="19.5" customHeight="1">
      <c r="A20" s="9">
        <v>15</v>
      </c>
      <c r="B20" s="9" t="s">
        <v>41</v>
      </c>
      <c r="C20" s="10" t="s">
        <v>42</v>
      </c>
      <c r="D20" s="11">
        <v>181</v>
      </c>
      <c r="E20" s="12">
        <v>79</v>
      </c>
      <c r="F20" s="13">
        <f t="shared" si="4"/>
        <v>24.114038033027075</v>
      </c>
      <c r="G20" s="14" t="str">
        <f t="shared" si="5"/>
        <v>น้ำหนักเกิน (ท้วม)</v>
      </c>
      <c r="H20" s="15">
        <v>78</v>
      </c>
      <c r="I20" s="16">
        <f t="shared" si="6"/>
        <v>23.808797045267237</v>
      </c>
      <c r="J20" s="17" t="str">
        <f t="shared" si="7"/>
        <v>น้ำหนักเกิน (ท้วม)</v>
      </c>
      <c r="K20" s="10"/>
    </row>
    <row r="21" spans="1:11" ht="19.5" customHeight="1">
      <c r="A21" s="9">
        <v>16</v>
      </c>
      <c r="B21" s="9" t="s">
        <v>43</v>
      </c>
      <c r="C21" s="10" t="s">
        <v>44</v>
      </c>
      <c r="D21" s="11">
        <v>181</v>
      </c>
      <c r="E21" s="12">
        <v>74</v>
      </c>
      <c r="F21" s="13">
        <f t="shared" si="4"/>
        <v>22.587833094227893</v>
      </c>
      <c r="G21" s="14" t="str">
        <f t="shared" si="5"/>
        <v>สมส่วน (ปกติ)</v>
      </c>
      <c r="H21" s="15">
        <v>72</v>
      </c>
      <c r="I21" s="16">
        <f t="shared" si="6"/>
        <v>21.977351118708221</v>
      </c>
      <c r="J21" s="17" t="str">
        <f t="shared" si="7"/>
        <v>สมส่วน (ปกติ)</v>
      </c>
      <c r="K21" s="10"/>
    </row>
    <row r="22" spans="1:11" ht="19.5" customHeight="1">
      <c r="A22" s="9">
        <v>17</v>
      </c>
      <c r="B22" s="9" t="s">
        <v>45</v>
      </c>
      <c r="C22" s="10" t="s">
        <v>46</v>
      </c>
      <c r="D22" s="11">
        <v>180</v>
      </c>
      <c r="E22" s="12">
        <v>71</v>
      </c>
      <c r="F22" s="13">
        <f t="shared" si="4"/>
        <v>21.913580246913579</v>
      </c>
      <c r="G22" s="14" t="str">
        <f t="shared" si="5"/>
        <v>สมส่วน (ปกติ)</v>
      </c>
      <c r="H22" s="15">
        <v>71</v>
      </c>
      <c r="I22" s="16">
        <f t="shared" si="6"/>
        <v>21.913580246913579</v>
      </c>
      <c r="J22" s="17" t="str">
        <f t="shared" si="7"/>
        <v>สมส่วน (ปกติ)</v>
      </c>
      <c r="K22" s="10"/>
    </row>
    <row r="23" spans="1:11" ht="19.5" customHeight="1">
      <c r="A23" s="9">
        <v>18</v>
      </c>
      <c r="B23" s="9" t="s">
        <v>47</v>
      </c>
      <c r="C23" s="10" t="s">
        <v>48</v>
      </c>
      <c r="D23" s="11">
        <v>180</v>
      </c>
      <c r="E23" s="12">
        <v>68</v>
      </c>
      <c r="F23" s="13">
        <f t="shared" si="4"/>
        <v>20.987654320987652</v>
      </c>
      <c r="G23" s="14" t="str">
        <f t="shared" si="5"/>
        <v>สมส่วน (ปกติ)</v>
      </c>
      <c r="H23" s="15">
        <v>68</v>
      </c>
      <c r="I23" s="16">
        <f t="shared" si="6"/>
        <v>20.987654320987652</v>
      </c>
      <c r="J23" s="17" t="str">
        <f t="shared" si="7"/>
        <v>สมส่วน (ปกติ)</v>
      </c>
      <c r="K23" s="10"/>
    </row>
    <row r="24" spans="1:11" ht="19.5" customHeight="1">
      <c r="A24" s="9">
        <v>19</v>
      </c>
      <c r="B24" s="9" t="s">
        <v>49</v>
      </c>
      <c r="C24" s="10" t="s">
        <v>50</v>
      </c>
      <c r="D24" s="11">
        <v>180</v>
      </c>
      <c r="E24" s="12">
        <v>72</v>
      </c>
      <c r="F24" s="13">
        <f t="shared" si="4"/>
        <v>22.222222222222221</v>
      </c>
      <c r="G24" s="14" t="str">
        <f t="shared" si="5"/>
        <v>สมส่วน (ปกติ)</v>
      </c>
      <c r="H24" s="15">
        <v>72</v>
      </c>
      <c r="I24" s="16">
        <f t="shared" si="6"/>
        <v>22.222222222222221</v>
      </c>
      <c r="J24" s="17" t="str">
        <f t="shared" si="7"/>
        <v>สมส่วน (ปกติ)</v>
      </c>
      <c r="K24" s="10"/>
    </row>
    <row r="25" spans="1:11" ht="19.5" customHeight="1">
      <c r="A25" s="9">
        <v>20</v>
      </c>
      <c r="B25" s="9" t="s">
        <v>51</v>
      </c>
      <c r="C25" s="10" t="s">
        <v>52</v>
      </c>
      <c r="D25" s="11">
        <v>178</v>
      </c>
      <c r="E25" s="12">
        <v>65</v>
      </c>
      <c r="F25" s="13">
        <f t="shared" si="4"/>
        <v>20.515086478979924</v>
      </c>
      <c r="G25" s="14" t="str">
        <f t="shared" si="5"/>
        <v>สมส่วน (ปกติ)</v>
      </c>
      <c r="H25" s="15">
        <v>65</v>
      </c>
      <c r="I25" s="16">
        <f t="shared" si="6"/>
        <v>20.515086478979924</v>
      </c>
      <c r="J25" s="17" t="str">
        <f t="shared" si="7"/>
        <v>สมส่วน (ปกติ)</v>
      </c>
      <c r="K25" s="10"/>
    </row>
    <row r="26" spans="1:11" ht="19.5" customHeight="1">
      <c r="A26" s="9">
        <v>21</v>
      </c>
      <c r="B26" s="9" t="s">
        <v>53</v>
      </c>
      <c r="C26" s="10" t="s">
        <v>54</v>
      </c>
      <c r="D26" s="11">
        <v>177</v>
      </c>
      <c r="E26" s="12">
        <v>68</v>
      </c>
      <c r="F26" s="13">
        <f t="shared" si="4"/>
        <v>21.705129432793896</v>
      </c>
      <c r="G26" s="14" t="str">
        <f t="shared" si="5"/>
        <v>สมส่วน (ปกติ)</v>
      </c>
      <c r="H26" s="15">
        <v>69</v>
      </c>
      <c r="I26" s="16">
        <f t="shared" si="6"/>
        <v>22.024322512687924</v>
      </c>
      <c r="J26" s="17" t="str">
        <f t="shared" si="7"/>
        <v>สมส่วน (ปกติ)</v>
      </c>
      <c r="K26" s="10"/>
    </row>
    <row r="27" spans="1:11" ht="19.5" customHeight="1">
      <c r="A27" s="2" t="s">
        <v>55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9.5" customHeight="1">
      <c r="A28" s="9">
        <v>22</v>
      </c>
      <c r="B28" s="9" t="s">
        <v>56</v>
      </c>
      <c r="C28" s="10" t="s">
        <v>57</v>
      </c>
      <c r="D28" s="11">
        <v>184</v>
      </c>
      <c r="E28" s="12">
        <v>68</v>
      </c>
      <c r="F28" s="13">
        <f t="shared" ref="F28:F37" si="8">IF(AND(ISNUMBER(D28), ISNUMBER(E28), D28&gt;0), E28/((D28/100)^2), "")</f>
        <v>20.085066162570886</v>
      </c>
      <c r="G28" s="14" t="str">
        <f t="shared" ref="G28:G37" si="9">IF(F28="","",IF(F28&lt;18.5,"ผอมเกินไป",IF(F28&lt;23,"สมส่วน (ปกติ)",IF(F28&lt;25,"น้ำหนักเกิน (ท้วม)",IF(F28&lt;30,"อ้วนระดับ 1","อ้วนระดับ 2 (อ้วนมาก)")))))</f>
        <v>สมส่วน (ปกติ)</v>
      </c>
      <c r="H28" s="15">
        <v>65</v>
      </c>
      <c r="I28" s="16">
        <f t="shared" ref="I28:I37" si="10">IF(AND(ISNUMBER(D28), ISNUMBER(H28), D28&gt;0), H28/((D28/100)^2), "")</f>
        <v>19.198960302457465</v>
      </c>
      <c r="J28" s="17" t="str">
        <f t="shared" ref="J28:J37" si="11">IF(I28="","",IF(I28&lt;18.5,"ผอมเกินไป",IF(I28&lt;23,"สมส่วน (ปกติ)",IF(I28&lt;25,"น้ำหนักเกิน (ท้วม)",IF(I28&lt;30,"อ้วนระดับ 1","อ้วนระดับ 2 (อ้วนมาก)")))))</f>
        <v>สมส่วน (ปกติ)</v>
      </c>
      <c r="K28" s="10"/>
    </row>
    <row r="29" spans="1:11" ht="19.5" customHeight="1">
      <c r="A29" s="9">
        <v>23</v>
      </c>
      <c r="B29" s="9" t="s">
        <v>58</v>
      </c>
      <c r="C29" s="10" t="s">
        <v>59</v>
      </c>
      <c r="D29" s="11">
        <v>183</v>
      </c>
      <c r="E29" s="12">
        <v>64</v>
      </c>
      <c r="F29" s="13">
        <f t="shared" si="8"/>
        <v>19.110752784496398</v>
      </c>
      <c r="G29" s="14" t="str">
        <f t="shared" si="9"/>
        <v>สมส่วน (ปกติ)</v>
      </c>
      <c r="H29" s="15">
        <v>61</v>
      </c>
      <c r="I29" s="16">
        <f t="shared" si="10"/>
        <v>18.214936247723131</v>
      </c>
      <c r="J29" s="17" t="str">
        <f t="shared" si="11"/>
        <v>ผอมเกินไป</v>
      </c>
      <c r="K29" s="10"/>
    </row>
    <row r="30" spans="1:11" ht="19.5" customHeight="1">
      <c r="A30" s="9">
        <v>24</v>
      </c>
      <c r="B30" s="9" t="s">
        <v>60</v>
      </c>
      <c r="C30" s="10" t="s">
        <v>61</v>
      </c>
      <c r="D30" s="11">
        <v>182</v>
      </c>
      <c r="E30" s="12">
        <v>83</v>
      </c>
      <c r="F30" s="13">
        <f t="shared" si="8"/>
        <v>25.057360222195385</v>
      </c>
      <c r="G30" s="14" t="str">
        <f t="shared" si="9"/>
        <v>อ้วนระดับ 1</v>
      </c>
      <c r="H30" s="15">
        <v>82</v>
      </c>
      <c r="I30" s="16">
        <f t="shared" si="10"/>
        <v>24.755464315903875</v>
      </c>
      <c r="J30" s="17" t="str">
        <f t="shared" si="11"/>
        <v>น้ำหนักเกิน (ท้วม)</v>
      </c>
      <c r="K30" s="10"/>
    </row>
    <row r="31" spans="1:11" ht="19.5" customHeight="1">
      <c r="A31" s="9">
        <v>25</v>
      </c>
      <c r="B31" s="9" t="s">
        <v>62</v>
      </c>
      <c r="C31" s="10" t="s">
        <v>63</v>
      </c>
      <c r="D31" s="11">
        <v>180</v>
      </c>
      <c r="E31" s="12">
        <v>70</v>
      </c>
      <c r="F31" s="13">
        <f t="shared" si="8"/>
        <v>21.604938271604937</v>
      </c>
      <c r="G31" s="14" t="str">
        <f t="shared" si="9"/>
        <v>สมส่วน (ปกติ)</v>
      </c>
      <c r="H31" s="15">
        <v>69</v>
      </c>
      <c r="I31" s="16">
        <f t="shared" si="10"/>
        <v>21.296296296296294</v>
      </c>
      <c r="J31" s="17" t="str">
        <f t="shared" si="11"/>
        <v>สมส่วน (ปกติ)</v>
      </c>
      <c r="K31" s="10"/>
    </row>
    <row r="32" spans="1:11" ht="19.5" customHeight="1">
      <c r="A32" s="9">
        <v>26</v>
      </c>
      <c r="B32" s="9" t="s">
        <v>64</v>
      </c>
      <c r="C32" s="10" t="s">
        <v>65</v>
      </c>
      <c r="D32" s="11">
        <v>182</v>
      </c>
      <c r="E32" s="12">
        <v>76</v>
      </c>
      <c r="F32" s="13">
        <f t="shared" si="8"/>
        <v>22.944088878154812</v>
      </c>
      <c r="G32" s="14" t="str">
        <f t="shared" si="9"/>
        <v>สมส่วน (ปกติ)</v>
      </c>
      <c r="H32" s="15">
        <v>74</v>
      </c>
      <c r="I32" s="16">
        <f t="shared" si="10"/>
        <v>22.340297065571789</v>
      </c>
      <c r="J32" s="17" t="str">
        <f t="shared" si="11"/>
        <v>สมส่วน (ปกติ)</v>
      </c>
      <c r="K32" s="10"/>
    </row>
    <row r="33" spans="1:11" ht="19.5" customHeight="1">
      <c r="A33" s="9">
        <v>27</v>
      </c>
      <c r="B33" s="9" t="s">
        <v>66</v>
      </c>
      <c r="C33" s="10" t="s">
        <v>67</v>
      </c>
      <c r="D33" s="11">
        <v>183</v>
      </c>
      <c r="E33" s="12">
        <v>58</v>
      </c>
      <c r="F33" s="13">
        <f t="shared" si="8"/>
        <v>17.319119710949863</v>
      </c>
      <c r="G33" s="14" t="str">
        <f t="shared" si="9"/>
        <v>ผอมเกินไป</v>
      </c>
      <c r="H33" s="15">
        <v>59</v>
      </c>
      <c r="I33" s="16">
        <f t="shared" si="10"/>
        <v>17.617725223207618</v>
      </c>
      <c r="J33" s="17" t="str">
        <f t="shared" si="11"/>
        <v>ผอมเกินไป</v>
      </c>
      <c r="K33" s="10"/>
    </row>
    <row r="34" spans="1:11" ht="19.5" customHeight="1">
      <c r="A34" s="9">
        <v>28</v>
      </c>
      <c r="B34" s="9" t="s">
        <v>68</v>
      </c>
      <c r="C34" s="10" t="s">
        <v>69</v>
      </c>
      <c r="D34" s="11">
        <v>179</v>
      </c>
      <c r="E34" s="12">
        <v>63</v>
      </c>
      <c r="F34" s="13">
        <f t="shared" si="8"/>
        <v>19.662307668299992</v>
      </c>
      <c r="G34" s="14" t="str">
        <f t="shared" si="9"/>
        <v>สมส่วน (ปกติ)</v>
      </c>
      <c r="H34" s="15">
        <v>62</v>
      </c>
      <c r="I34" s="16">
        <f t="shared" si="10"/>
        <v>19.350207546580943</v>
      </c>
      <c r="J34" s="17" t="str">
        <f t="shared" si="11"/>
        <v>สมส่วน (ปกติ)</v>
      </c>
      <c r="K34" s="10"/>
    </row>
    <row r="35" spans="1:11" ht="19.5" customHeight="1">
      <c r="A35" s="9">
        <v>29</v>
      </c>
      <c r="B35" s="9" t="s">
        <v>70</v>
      </c>
      <c r="C35" s="10" t="s">
        <v>71</v>
      </c>
      <c r="D35" s="11">
        <v>180</v>
      </c>
      <c r="E35" s="12">
        <v>78</v>
      </c>
      <c r="F35" s="13">
        <f t="shared" si="8"/>
        <v>24.074074074074073</v>
      </c>
      <c r="G35" s="14" t="str">
        <f t="shared" si="9"/>
        <v>น้ำหนักเกิน (ท้วม)</v>
      </c>
      <c r="H35" s="15">
        <v>79</v>
      </c>
      <c r="I35" s="16">
        <f t="shared" si="10"/>
        <v>24.382716049382715</v>
      </c>
      <c r="J35" s="17" t="str">
        <f t="shared" si="11"/>
        <v>น้ำหนักเกิน (ท้วม)</v>
      </c>
      <c r="K35" s="10"/>
    </row>
    <row r="36" spans="1:11" ht="19.5" customHeight="1">
      <c r="A36" s="9">
        <v>30</v>
      </c>
      <c r="B36" s="9" t="s">
        <v>72</v>
      </c>
      <c r="C36" s="10" t="s">
        <v>73</v>
      </c>
      <c r="D36" s="11">
        <v>178</v>
      </c>
      <c r="E36" s="12">
        <v>73</v>
      </c>
      <c r="F36" s="13">
        <f t="shared" si="8"/>
        <v>23.040020199469762</v>
      </c>
      <c r="G36" s="14" t="str">
        <f t="shared" si="9"/>
        <v>น้ำหนักเกิน (ท้วม)</v>
      </c>
      <c r="H36" s="15">
        <v>72</v>
      </c>
      <c r="I36" s="16">
        <f t="shared" si="10"/>
        <v>22.724403484408533</v>
      </c>
      <c r="J36" s="17" t="str">
        <f t="shared" si="11"/>
        <v>สมส่วน (ปกติ)</v>
      </c>
      <c r="K36" s="10"/>
    </row>
    <row r="37" spans="1:11" ht="19.5" customHeight="1">
      <c r="A37" s="9">
        <v>31</v>
      </c>
      <c r="B37" s="9" t="s">
        <v>74</v>
      </c>
      <c r="C37" s="10" t="s">
        <v>75</v>
      </c>
      <c r="D37" s="11">
        <v>177</v>
      </c>
      <c r="E37" s="12">
        <v>73</v>
      </c>
      <c r="F37" s="13">
        <f t="shared" si="8"/>
        <v>23.301094832264035</v>
      </c>
      <c r="G37" s="14" t="str">
        <f t="shared" si="9"/>
        <v>น้ำหนักเกิน (ท้วม)</v>
      </c>
      <c r="H37" s="15">
        <v>72</v>
      </c>
      <c r="I37" s="16">
        <f t="shared" si="10"/>
        <v>22.981901752370007</v>
      </c>
      <c r="J37" s="17" t="str">
        <f t="shared" si="11"/>
        <v>สมส่วน (ปกติ)</v>
      </c>
      <c r="K37" s="10"/>
    </row>
    <row r="38" spans="1:11" ht="19.5" customHeight="1">
      <c r="A38" s="2" t="s">
        <v>76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9.5" customHeight="1">
      <c r="A39" s="9">
        <v>32</v>
      </c>
      <c r="B39" s="9" t="s">
        <v>77</v>
      </c>
      <c r="C39" s="10" t="s">
        <v>78</v>
      </c>
      <c r="D39" s="11">
        <v>183</v>
      </c>
      <c r="E39" s="12">
        <v>68</v>
      </c>
      <c r="F39" s="13">
        <f t="shared" ref="F39:F48" si="12">IF(AND(ISNUMBER(D39), ISNUMBER(E39), D39&gt;0), E39/((D39/100)^2), "")</f>
        <v>20.305174833527424</v>
      </c>
      <c r="G39" s="14" t="str">
        <f t="shared" ref="G39:G48" si="13">IF(F39="","",IF(F39&lt;18.5,"ผอมเกินไป",IF(F39&lt;23,"สมส่วน (ปกติ)",IF(F39&lt;25,"น้ำหนักเกิน (ท้วม)",IF(F39&lt;30,"อ้วนระดับ 1","อ้วนระดับ 2 (อ้วนมาก)")))))</f>
        <v>สมส่วน (ปกติ)</v>
      </c>
      <c r="H39" s="15">
        <v>67</v>
      </c>
      <c r="I39" s="16">
        <f t="shared" ref="I39:I48" si="14">IF(AND(ISNUMBER(D39), ISNUMBER(H39), D39&gt;0), H39/((D39/100)^2), "")</f>
        <v>20.006569321269669</v>
      </c>
      <c r="J39" s="17" t="str">
        <f t="shared" ref="J39:J48" si="15">IF(I39="","",IF(I39&lt;18.5,"ผอมเกินไป",IF(I39&lt;23,"สมส่วน (ปกติ)",IF(I39&lt;25,"น้ำหนักเกิน (ท้วม)",IF(I39&lt;30,"อ้วนระดับ 1","อ้วนระดับ 2 (อ้วนมาก)")))))</f>
        <v>สมส่วน (ปกติ)</v>
      </c>
      <c r="K39" s="10"/>
    </row>
    <row r="40" spans="1:11" ht="19.5" customHeight="1">
      <c r="A40" s="9">
        <v>33</v>
      </c>
      <c r="B40" s="9" t="s">
        <v>79</v>
      </c>
      <c r="C40" s="10" t="s">
        <v>80</v>
      </c>
      <c r="D40" s="11">
        <v>182</v>
      </c>
      <c r="E40" s="12">
        <v>70</v>
      </c>
      <c r="F40" s="13">
        <f t="shared" si="12"/>
        <v>21.132713440405748</v>
      </c>
      <c r="G40" s="14" t="str">
        <f t="shared" si="13"/>
        <v>สมส่วน (ปกติ)</v>
      </c>
      <c r="H40" s="15">
        <v>69</v>
      </c>
      <c r="I40" s="16">
        <f t="shared" si="14"/>
        <v>20.830817534114235</v>
      </c>
      <c r="J40" s="17" t="str">
        <f t="shared" si="15"/>
        <v>สมส่วน (ปกติ)</v>
      </c>
      <c r="K40" s="10"/>
    </row>
    <row r="41" spans="1:11" ht="19.5" customHeight="1">
      <c r="A41" s="9">
        <v>34</v>
      </c>
      <c r="B41" s="9" t="s">
        <v>81</v>
      </c>
      <c r="C41" s="10" t="s">
        <v>82</v>
      </c>
      <c r="D41" s="11">
        <v>183</v>
      </c>
      <c r="E41" s="12">
        <v>107.5</v>
      </c>
      <c r="F41" s="13">
        <f t="shared" si="12"/>
        <v>32.100092567708799</v>
      </c>
      <c r="G41" s="14" t="str">
        <f t="shared" si="13"/>
        <v>อ้วนระดับ 2 (อ้วนมาก)</v>
      </c>
      <c r="H41" s="15">
        <v>104</v>
      </c>
      <c r="I41" s="16">
        <f t="shared" si="14"/>
        <v>31.054973274806649</v>
      </c>
      <c r="J41" s="17" t="str">
        <f t="shared" si="15"/>
        <v>อ้วนระดับ 2 (อ้วนมาก)</v>
      </c>
      <c r="K41" s="10"/>
    </row>
    <row r="42" spans="1:11" ht="19.5" customHeight="1">
      <c r="A42" s="9">
        <v>35</v>
      </c>
      <c r="B42" s="9" t="s">
        <v>83</v>
      </c>
      <c r="C42" s="10" t="s">
        <v>84</v>
      </c>
      <c r="D42" s="11">
        <v>182</v>
      </c>
      <c r="E42" s="12">
        <v>65</v>
      </c>
      <c r="F42" s="13">
        <f t="shared" si="12"/>
        <v>19.623233908948194</v>
      </c>
      <c r="G42" s="14" t="str">
        <f t="shared" si="13"/>
        <v>สมส่วน (ปกติ)</v>
      </c>
      <c r="H42" s="15">
        <v>64</v>
      </c>
      <c r="I42" s="16">
        <f t="shared" si="14"/>
        <v>19.321338002656681</v>
      </c>
      <c r="J42" s="17" t="str">
        <f t="shared" si="15"/>
        <v>สมส่วน (ปกติ)</v>
      </c>
      <c r="K42" s="10"/>
    </row>
    <row r="43" spans="1:11" ht="19.5" customHeight="1">
      <c r="A43" s="9">
        <v>36</v>
      </c>
      <c r="B43" s="9" t="s">
        <v>85</v>
      </c>
      <c r="C43" s="10" t="s">
        <v>86</v>
      </c>
      <c r="D43" s="11">
        <v>180</v>
      </c>
      <c r="E43" s="12">
        <v>73</v>
      </c>
      <c r="F43" s="13">
        <f t="shared" si="12"/>
        <v>22.530864197530864</v>
      </c>
      <c r="G43" s="14" t="str">
        <f t="shared" si="13"/>
        <v>สมส่วน (ปกติ)</v>
      </c>
      <c r="H43" s="15">
        <v>72</v>
      </c>
      <c r="I43" s="16">
        <f t="shared" si="14"/>
        <v>22.222222222222221</v>
      </c>
      <c r="J43" s="17" t="str">
        <f t="shared" si="15"/>
        <v>สมส่วน (ปกติ)</v>
      </c>
      <c r="K43" s="10"/>
    </row>
    <row r="44" spans="1:11" ht="19.5" customHeight="1">
      <c r="A44" s="9">
        <v>37</v>
      </c>
      <c r="B44" s="9" t="s">
        <v>87</v>
      </c>
      <c r="C44" s="10" t="s">
        <v>88</v>
      </c>
      <c r="D44" s="11">
        <v>180</v>
      </c>
      <c r="E44" s="12">
        <v>68</v>
      </c>
      <c r="F44" s="13">
        <f t="shared" si="12"/>
        <v>20.987654320987652</v>
      </c>
      <c r="G44" s="14" t="str">
        <f t="shared" si="13"/>
        <v>สมส่วน (ปกติ)</v>
      </c>
      <c r="H44" s="15">
        <v>68</v>
      </c>
      <c r="I44" s="16">
        <f t="shared" si="14"/>
        <v>20.987654320987652</v>
      </c>
      <c r="J44" s="17" t="str">
        <f t="shared" si="15"/>
        <v>สมส่วน (ปกติ)</v>
      </c>
      <c r="K44" s="10"/>
    </row>
    <row r="45" spans="1:11" ht="19.5" customHeight="1">
      <c r="A45" s="9">
        <v>38</v>
      </c>
      <c r="B45" s="9" t="s">
        <v>89</v>
      </c>
      <c r="C45" s="10" t="s">
        <v>90</v>
      </c>
      <c r="D45" s="11">
        <v>179</v>
      </c>
      <c r="E45" s="12">
        <v>74</v>
      </c>
      <c r="F45" s="13">
        <f t="shared" si="12"/>
        <v>23.095409007209515</v>
      </c>
      <c r="G45" s="14" t="str">
        <f t="shared" si="13"/>
        <v>น้ำหนักเกิน (ท้วม)</v>
      </c>
      <c r="H45" s="15">
        <v>75</v>
      </c>
      <c r="I45" s="16">
        <f t="shared" si="14"/>
        <v>23.40750912892856</v>
      </c>
      <c r="J45" s="17" t="str">
        <f t="shared" si="15"/>
        <v>น้ำหนักเกิน (ท้วม)</v>
      </c>
      <c r="K45" s="10"/>
    </row>
    <row r="46" spans="1:11" ht="19.5" customHeight="1">
      <c r="A46" s="9">
        <v>39</v>
      </c>
      <c r="B46" s="9" t="s">
        <v>91</v>
      </c>
      <c r="C46" s="10" t="s">
        <v>92</v>
      </c>
      <c r="D46" s="11">
        <v>179</v>
      </c>
      <c r="E46" s="12">
        <v>65</v>
      </c>
      <c r="F46" s="13">
        <f t="shared" si="12"/>
        <v>20.286507911738084</v>
      </c>
      <c r="G46" s="14" t="str">
        <f t="shared" si="13"/>
        <v>สมส่วน (ปกติ)</v>
      </c>
      <c r="H46" s="15">
        <v>66</v>
      </c>
      <c r="I46" s="16">
        <f t="shared" si="14"/>
        <v>20.598608033457133</v>
      </c>
      <c r="J46" s="17" t="str">
        <f t="shared" si="15"/>
        <v>สมส่วน (ปกติ)</v>
      </c>
      <c r="K46" s="10"/>
    </row>
    <row r="47" spans="1:11" ht="19.5" customHeight="1">
      <c r="A47" s="9">
        <v>40</v>
      </c>
      <c r="B47" s="9" t="s">
        <v>93</v>
      </c>
      <c r="C47" s="10" t="s">
        <v>94</v>
      </c>
      <c r="D47" s="11">
        <v>179</v>
      </c>
      <c r="E47" s="12">
        <v>67</v>
      </c>
      <c r="F47" s="13">
        <f t="shared" si="12"/>
        <v>20.910708155176181</v>
      </c>
      <c r="G47" s="14" t="str">
        <f t="shared" si="13"/>
        <v>สมส่วน (ปกติ)</v>
      </c>
      <c r="H47" s="15">
        <v>68</v>
      </c>
      <c r="I47" s="16">
        <f t="shared" si="14"/>
        <v>21.222808276895229</v>
      </c>
      <c r="J47" s="17" t="str">
        <f t="shared" si="15"/>
        <v>สมส่วน (ปกติ)</v>
      </c>
      <c r="K47" s="10"/>
    </row>
    <row r="48" spans="1:11" ht="19.5" customHeight="1">
      <c r="A48" s="9">
        <v>41</v>
      </c>
      <c r="B48" s="9" t="s">
        <v>95</v>
      </c>
      <c r="C48" s="10" t="s">
        <v>96</v>
      </c>
      <c r="D48" s="11">
        <v>177</v>
      </c>
      <c r="E48" s="12">
        <v>90</v>
      </c>
      <c r="F48" s="13">
        <f t="shared" si="12"/>
        <v>28.727377190462509</v>
      </c>
      <c r="G48" s="14" t="str">
        <f t="shared" si="13"/>
        <v>อ้วนระดับ 1</v>
      </c>
      <c r="H48" s="15">
        <v>87</v>
      </c>
      <c r="I48" s="16">
        <f t="shared" si="14"/>
        <v>27.769797950780426</v>
      </c>
      <c r="J48" s="17" t="str">
        <f t="shared" si="15"/>
        <v>อ้วนระดับ 1</v>
      </c>
      <c r="K48" s="10"/>
    </row>
    <row r="49" spans="1:11" ht="19.5" customHeight="1">
      <c r="A49" s="2" t="s">
        <v>97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9.5" customHeight="1">
      <c r="A50" s="9">
        <v>42</v>
      </c>
      <c r="B50" s="9" t="s">
        <v>98</v>
      </c>
      <c r="C50" s="10" t="s">
        <v>99</v>
      </c>
      <c r="D50" s="11">
        <v>183</v>
      </c>
      <c r="E50" s="12">
        <v>64</v>
      </c>
      <c r="F50" s="13">
        <f t="shared" ref="F50:F60" si="16">IF(AND(ISNUMBER(D50), ISNUMBER(E50), D50&gt;0), E50/((D50/100)^2), "")</f>
        <v>19.110752784496398</v>
      </c>
      <c r="G50" s="14" t="str">
        <f t="shared" ref="G50:G60" si="17">IF(F50="","",IF(F50&lt;18.5,"ผอมเกินไป",IF(F50&lt;23,"สมส่วน (ปกติ)",IF(F50&lt;25,"น้ำหนักเกิน (ท้วม)",IF(F50&lt;30,"อ้วนระดับ 1","อ้วนระดับ 2 (อ้วนมาก)")))))</f>
        <v>สมส่วน (ปกติ)</v>
      </c>
      <c r="H50" s="15">
        <v>63</v>
      </c>
      <c r="I50" s="16">
        <f t="shared" ref="I50:I60" si="18">IF(AND(ISNUMBER(D50), ISNUMBER(H50), D50&gt;0), H50/((D50/100)^2), "")</f>
        <v>18.812147272238644</v>
      </c>
      <c r="J50" s="17" t="str">
        <f t="shared" ref="J50:J60" si="19">IF(I50="","",IF(I50&lt;18.5,"ผอมเกินไป",IF(I50&lt;23,"สมส่วน (ปกติ)",IF(I50&lt;25,"น้ำหนักเกิน (ท้วม)",IF(I50&lt;30,"อ้วนระดับ 1","อ้วนระดับ 2 (อ้วนมาก)")))))</f>
        <v>สมส่วน (ปกติ)</v>
      </c>
      <c r="K50" s="10"/>
    </row>
    <row r="51" spans="1:11" ht="19.5" customHeight="1">
      <c r="A51" s="9">
        <v>43</v>
      </c>
      <c r="B51" s="9" t="s">
        <v>100</v>
      </c>
      <c r="C51" s="10" t="s">
        <v>101</v>
      </c>
      <c r="D51" s="11">
        <v>183</v>
      </c>
      <c r="E51" s="12">
        <v>68</v>
      </c>
      <c r="F51" s="13">
        <f t="shared" si="16"/>
        <v>20.305174833527424</v>
      </c>
      <c r="G51" s="14" t="str">
        <f t="shared" si="17"/>
        <v>สมส่วน (ปกติ)</v>
      </c>
      <c r="H51" s="15">
        <v>67</v>
      </c>
      <c r="I51" s="16">
        <f t="shared" si="18"/>
        <v>20.006569321269669</v>
      </c>
      <c r="J51" s="17" t="str">
        <f t="shared" si="19"/>
        <v>สมส่วน (ปกติ)</v>
      </c>
      <c r="K51" s="10"/>
    </row>
    <row r="52" spans="1:11" ht="19.5" customHeight="1">
      <c r="A52" s="9">
        <v>44</v>
      </c>
      <c r="B52" s="9" t="s">
        <v>102</v>
      </c>
      <c r="C52" s="10" t="s">
        <v>103</v>
      </c>
      <c r="D52" s="11">
        <v>181</v>
      </c>
      <c r="E52" s="12">
        <v>65</v>
      </c>
      <c r="F52" s="13">
        <f t="shared" si="16"/>
        <v>19.840664204389366</v>
      </c>
      <c r="G52" s="14" t="str">
        <f t="shared" si="17"/>
        <v>สมส่วน (ปกติ)</v>
      </c>
      <c r="H52" s="15">
        <v>65</v>
      </c>
      <c r="I52" s="16">
        <f t="shared" si="18"/>
        <v>19.840664204389366</v>
      </c>
      <c r="J52" s="17" t="str">
        <f t="shared" si="19"/>
        <v>สมส่วน (ปกติ)</v>
      </c>
      <c r="K52" s="10"/>
    </row>
    <row r="53" spans="1:11" ht="19.5" customHeight="1">
      <c r="A53" s="9">
        <v>45</v>
      </c>
      <c r="B53" s="9" t="s">
        <v>104</v>
      </c>
      <c r="C53" s="10" t="s">
        <v>105</v>
      </c>
      <c r="D53" s="11">
        <v>180</v>
      </c>
      <c r="E53" s="12">
        <v>69</v>
      </c>
      <c r="F53" s="13">
        <f t="shared" si="16"/>
        <v>21.296296296296294</v>
      </c>
      <c r="G53" s="14" t="str">
        <f t="shared" si="17"/>
        <v>สมส่วน (ปกติ)</v>
      </c>
      <c r="H53" s="15">
        <v>68</v>
      </c>
      <c r="I53" s="16">
        <f t="shared" si="18"/>
        <v>20.987654320987652</v>
      </c>
      <c r="J53" s="17" t="str">
        <f t="shared" si="19"/>
        <v>สมส่วน (ปกติ)</v>
      </c>
      <c r="K53" s="10"/>
    </row>
    <row r="54" spans="1:11" ht="19.5" customHeight="1">
      <c r="A54" s="9">
        <v>46</v>
      </c>
      <c r="B54" s="9" t="s">
        <v>106</v>
      </c>
      <c r="C54" s="10" t="s">
        <v>107</v>
      </c>
      <c r="D54" s="11">
        <v>180</v>
      </c>
      <c r="E54" s="12">
        <v>75</v>
      </c>
      <c r="F54" s="13">
        <f t="shared" si="16"/>
        <v>23.148148148148145</v>
      </c>
      <c r="G54" s="14" t="str">
        <f t="shared" si="17"/>
        <v>น้ำหนักเกิน (ท้วม)</v>
      </c>
      <c r="H54" s="15">
        <v>74</v>
      </c>
      <c r="I54" s="16">
        <f t="shared" si="18"/>
        <v>22.839506172839506</v>
      </c>
      <c r="J54" s="17" t="str">
        <f t="shared" si="19"/>
        <v>สมส่วน (ปกติ)</v>
      </c>
      <c r="K54" s="10"/>
    </row>
    <row r="55" spans="1:11" ht="19.5" customHeight="1">
      <c r="A55" s="9">
        <v>47</v>
      </c>
      <c r="B55" s="9" t="s">
        <v>108</v>
      </c>
      <c r="C55" s="10" t="s">
        <v>109</v>
      </c>
      <c r="D55" s="11">
        <v>179</v>
      </c>
      <c r="E55" s="12">
        <v>69</v>
      </c>
      <c r="F55" s="13">
        <f t="shared" si="16"/>
        <v>21.534908398614277</v>
      </c>
      <c r="G55" s="14" t="str">
        <f t="shared" si="17"/>
        <v>สมส่วน (ปกติ)</v>
      </c>
      <c r="H55" s="15">
        <v>68</v>
      </c>
      <c r="I55" s="16">
        <f t="shared" si="18"/>
        <v>21.222808276895229</v>
      </c>
      <c r="J55" s="17" t="str">
        <f t="shared" si="19"/>
        <v>สมส่วน (ปกติ)</v>
      </c>
      <c r="K55" s="10"/>
    </row>
    <row r="56" spans="1:11" ht="19.5" customHeight="1">
      <c r="A56" s="9">
        <v>48</v>
      </c>
      <c r="B56" s="9" t="s">
        <v>110</v>
      </c>
      <c r="C56" s="10" t="s">
        <v>111</v>
      </c>
      <c r="D56" s="11">
        <v>179</v>
      </c>
      <c r="E56" s="12">
        <v>86</v>
      </c>
      <c r="F56" s="13">
        <f t="shared" si="16"/>
        <v>26.840610467838083</v>
      </c>
      <c r="G56" s="14" t="str">
        <f t="shared" si="17"/>
        <v>อ้วนระดับ 1</v>
      </c>
      <c r="H56" s="15">
        <v>86</v>
      </c>
      <c r="I56" s="16">
        <f t="shared" si="18"/>
        <v>26.840610467838083</v>
      </c>
      <c r="J56" s="17" t="str">
        <f t="shared" si="19"/>
        <v>อ้วนระดับ 1</v>
      </c>
      <c r="K56" s="10"/>
    </row>
    <row r="57" spans="1:11" ht="19.5" customHeight="1">
      <c r="A57" s="9">
        <v>49</v>
      </c>
      <c r="B57" s="9" t="s">
        <v>112</v>
      </c>
      <c r="C57" s="10" t="s">
        <v>113</v>
      </c>
      <c r="D57" s="11">
        <v>179</v>
      </c>
      <c r="E57" s="12">
        <v>70</v>
      </c>
      <c r="F57" s="13">
        <f t="shared" si="16"/>
        <v>21.847008520333322</v>
      </c>
      <c r="G57" s="14" t="str">
        <f t="shared" si="17"/>
        <v>สมส่วน (ปกติ)</v>
      </c>
      <c r="H57" s="15">
        <v>68</v>
      </c>
      <c r="I57" s="16">
        <f t="shared" si="18"/>
        <v>21.222808276895229</v>
      </c>
      <c r="J57" s="17" t="str">
        <f t="shared" si="19"/>
        <v>สมส่วน (ปกติ)</v>
      </c>
      <c r="K57" s="10"/>
    </row>
    <row r="58" spans="1:11" ht="19.5" customHeight="1">
      <c r="A58" s="9">
        <v>50</v>
      </c>
      <c r="B58" s="9" t="s">
        <v>114</v>
      </c>
      <c r="C58" s="10" t="s">
        <v>115</v>
      </c>
      <c r="D58" s="11">
        <v>178</v>
      </c>
      <c r="E58" s="12">
        <v>55</v>
      </c>
      <c r="F58" s="13">
        <f t="shared" si="16"/>
        <v>17.35891932836763</v>
      </c>
      <c r="G58" s="14" t="str">
        <f t="shared" si="17"/>
        <v>ผอมเกินไป</v>
      </c>
      <c r="H58" s="15">
        <v>56</v>
      </c>
      <c r="I58" s="16">
        <f t="shared" si="18"/>
        <v>17.674536043428859</v>
      </c>
      <c r="J58" s="17" t="str">
        <f t="shared" si="19"/>
        <v>ผอมเกินไป</v>
      </c>
      <c r="K58" s="10"/>
    </row>
    <row r="59" spans="1:11" ht="19.5" customHeight="1">
      <c r="A59" s="9">
        <v>51</v>
      </c>
      <c r="B59" s="9" t="s">
        <v>116</v>
      </c>
      <c r="C59" s="10" t="s">
        <v>117</v>
      </c>
      <c r="D59" s="11">
        <v>177</v>
      </c>
      <c r="E59" s="12">
        <v>74</v>
      </c>
      <c r="F59" s="13">
        <f t="shared" si="16"/>
        <v>23.620287912158062</v>
      </c>
      <c r="G59" s="14" t="str">
        <f t="shared" si="17"/>
        <v>น้ำหนักเกิน (ท้วม)</v>
      </c>
      <c r="H59" s="15">
        <v>75</v>
      </c>
      <c r="I59" s="16">
        <f t="shared" si="18"/>
        <v>23.93948099205209</v>
      </c>
      <c r="J59" s="17" t="str">
        <f t="shared" si="19"/>
        <v>น้ำหนักเกิน (ท้วม)</v>
      </c>
      <c r="K59" s="10"/>
    </row>
    <row r="60" spans="1:11" ht="19.5" customHeight="1">
      <c r="A60" s="9">
        <v>52</v>
      </c>
      <c r="B60" s="9" t="s">
        <v>118</v>
      </c>
      <c r="C60" s="10" t="s">
        <v>119</v>
      </c>
      <c r="D60" s="11">
        <v>177</v>
      </c>
      <c r="E60" s="12">
        <v>67</v>
      </c>
      <c r="F60" s="13">
        <f t="shared" si="16"/>
        <v>21.385936352899868</v>
      </c>
      <c r="G60" s="14" t="str">
        <f t="shared" si="17"/>
        <v>สมส่วน (ปกติ)</v>
      </c>
      <c r="H60" s="15">
        <v>65</v>
      </c>
      <c r="I60" s="16">
        <f t="shared" si="18"/>
        <v>20.747550193111813</v>
      </c>
      <c r="J60" s="17" t="str">
        <f t="shared" si="19"/>
        <v>สมส่วน (ปกติ)</v>
      </c>
      <c r="K60" s="10"/>
    </row>
    <row r="61" spans="1:11" ht="19.5" customHeight="1">
      <c r="A61" s="2" t="s">
        <v>120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9.5" customHeight="1">
      <c r="A62" s="9">
        <v>53</v>
      </c>
      <c r="B62" s="9" t="s">
        <v>121</v>
      </c>
      <c r="C62" s="10" t="s">
        <v>122</v>
      </c>
      <c r="D62" s="11">
        <v>176</v>
      </c>
      <c r="E62" s="12">
        <v>78</v>
      </c>
      <c r="F62" s="13">
        <f t="shared" ref="F62:F72" si="20">IF(AND(ISNUMBER(D62), ISNUMBER(E62), D62&gt;0), E62/((D62/100)^2), "")</f>
        <v>25.180785123966942</v>
      </c>
      <c r="G62" s="14" t="str">
        <f t="shared" ref="G62:G72" si="21">IF(F62="","",IF(F62&lt;18.5,"ผอมเกินไป",IF(F62&lt;23,"สมส่วน (ปกติ)",IF(F62&lt;25,"น้ำหนักเกิน (ท้วม)",IF(F62&lt;30,"อ้วนระดับ 1","อ้วนระดับ 2 (อ้วนมาก)")))))</f>
        <v>อ้วนระดับ 1</v>
      </c>
      <c r="H62" s="15">
        <v>77</v>
      </c>
      <c r="I62" s="16">
        <f t="shared" ref="I62:I72" si="22">IF(AND(ISNUMBER(D62), ISNUMBER(H62), D62&gt;0), H62/((D62/100)^2), "")</f>
        <v>24.857954545454547</v>
      </c>
      <c r="J62" s="17" t="str">
        <f t="shared" ref="J62:J72" si="23">IF(I62="","",IF(I62&lt;18.5,"ผอมเกินไป",IF(I62&lt;23,"สมส่วน (ปกติ)",IF(I62&lt;25,"น้ำหนักเกิน (ท้วม)",IF(I62&lt;30,"อ้วนระดับ 1","อ้วนระดับ 2 (อ้วนมาก)")))))</f>
        <v>น้ำหนักเกิน (ท้วม)</v>
      </c>
      <c r="K62" s="10"/>
    </row>
    <row r="63" spans="1:11" ht="19.5" customHeight="1">
      <c r="A63" s="9">
        <v>54</v>
      </c>
      <c r="B63" s="9" t="s">
        <v>123</v>
      </c>
      <c r="C63" s="10" t="s">
        <v>124</v>
      </c>
      <c r="D63" s="11">
        <v>176</v>
      </c>
      <c r="E63" s="12">
        <v>82</v>
      </c>
      <c r="F63" s="13">
        <f t="shared" si="20"/>
        <v>26.472107438016529</v>
      </c>
      <c r="G63" s="14" t="str">
        <f t="shared" si="21"/>
        <v>อ้วนระดับ 1</v>
      </c>
      <c r="H63" s="15">
        <v>82</v>
      </c>
      <c r="I63" s="16">
        <f t="shared" si="22"/>
        <v>26.472107438016529</v>
      </c>
      <c r="J63" s="17" t="str">
        <f t="shared" si="23"/>
        <v>อ้วนระดับ 1</v>
      </c>
      <c r="K63" s="10"/>
    </row>
    <row r="64" spans="1:11" ht="19.5" customHeight="1">
      <c r="A64" s="9">
        <v>55</v>
      </c>
      <c r="B64" s="9" t="s">
        <v>125</v>
      </c>
      <c r="C64" s="10" t="s">
        <v>126</v>
      </c>
      <c r="D64" s="11">
        <v>176</v>
      </c>
      <c r="E64" s="12">
        <v>71</v>
      </c>
      <c r="F64" s="13">
        <f t="shared" si="20"/>
        <v>22.920971074380166</v>
      </c>
      <c r="G64" s="14" t="str">
        <f t="shared" si="21"/>
        <v>สมส่วน (ปกติ)</v>
      </c>
      <c r="H64" s="15">
        <v>71</v>
      </c>
      <c r="I64" s="16">
        <f t="shared" si="22"/>
        <v>22.920971074380166</v>
      </c>
      <c r="J64" s="17" t="str">
        <f t="shared" si="23"/>
        <v>สมส่วน (ปกติ)</v>
      </c>
      <c r="K64" s="10"/>
    </row>
    <row r="65" spans="1:11" ht="19.5" customHeight="1">
      <c r="A65" s="9">
        <v>56</v>
      </c>
      <c r="B65" s="9" t="s">
        <v>127</v>
      </c>
      <c r="C65" s="10" t="s">
        <v>128</v>
      </c>
      <c r="D65" s="11">
        <v>176</v>
      </c>
      <c r="E65" s="12">
        <v>54</v>
      </c>
      <c r="F65" s="13">
        <f t="shared" si="20"/>
        <v>17.432851239669422</v>
      </c>
      <c r="G65" s="14" t="str">
        <f t="shared" si="21"/>
        <v>ผอมเกินไป</v>
      </c>
      <c r="H65" s="15">
        <v>55</v>
      </c>
      <c r="I65" s="16">
        <f t="shared" si="22"/>
        <v>17.75568181818182</v>
      </c>
      <c r="J65" s="17" t="str">
        <f t="shared" si="23"/>
        <v>ผอมเกินไป</v>
      </c>
      <c r="K65" s="10"/>
    </row>
    <row r="66" spans="1:11" ht="19.5" customHeight="1">
      <c r="A66" s="9">
        <v>57</v>
      </c>
      <c r="B66" s="9" t="s">
        <v>129</v>
      </c>
      <c r="C66" s="10" t="s">
        <v>130</v>
      </c>
      <c r="D66" s="11">
        <v>176</v>
      </c>
      <c r="E66" s="12">
        <v>75</v>
      </c>
      <c r="F66" s="13">
        <f t="shared" si="20"/>
        <v>24.212293388429753</v>
      </c>
      <c r="G66" s="14" t="str">
        <f t="shared" si="21"/>
        <v>น้ำหนักเกิน (ท้วม)</v>
      </c>
      <c r="H66" s="15">
        <v>73</v>
      </c>
      <c r="I66" s="16">
        <f t="shared" si="22"/>
        <v>23.566632231404959</v>
      </c>
      <c r="J66" s="17" t="str">
        <f t="shared" si="23"/>
        <v>น้ำหนักเกิน (ท้วม)</v>
      </c>
      <c r="K66" s="10"/>
    </row>
    <row r="67" spans="1:11" ht="19.5" customHeight="1">
      <c r="A67" s="9">
        <v>58</v>
      </c>
      <c r="B67" s="9" t="s">
        <v>131</v>
      </c>
      <c r="C67" s="10" t="s">
        <v>132</v>
      </c>
      <c r="D67" s="11">
        <v>175</v>
      </c>
      <c r="E67" s="12">
        <v>81</v>
      </c>
      <c r="F67" s="13">
        <f t="shared" si="20"/>
        <v>26.448979591836736</v>
      </c>
      <c r="G67" s="14" t="str">
        <f t="shared" si="21"/>
        <v>อ้วนระดับ 1</v>
      </c>
      <c r="H67" s="15">
        <v>77</v>
      </c>
      <c r="I67" s="16">
        <f t="shared" si="22"/>
        <v>25.142857142857142</v>
      </c>
      <c r="J67" s="17" t="str">
        <f t="shared" si="23"/>
        <v>อ้วนระดับ 1</v>
      </c>
      <c r="K67" s="10"/>
    </row>
    <row r="68" spans="1:11" ht="19.5" customHeight="1">
      <c r="A68" s="9">
        <v>59</v>
      </c>
      <c r="B68" s="9" t="s">
        <v>133</v>
      </c>
      <c r="C68" s="10" t="s">
        <v>134</v>
      </c>
      <c r="D68" s="11">
        <v>176</v>
      </c>
      <c r="E68" s="12">
        <v>83</v>
      </c>
      <c r="F68" s="13">
        <f t="shared" si="20"/>
        <v>26.794938016528928</v>
      </c>
      <c r="G68" s="14" t="str">
        <f t="shared" si="21"/>
        <v>อ้วนระดับ 1</v>
      </c>
      <c r="H68" s="15">
        <v>81</v>
      </c>
      <c r="I68" s="16">
        <f t="shared" si="22"/>
        <v>26.149276859504134</v>
      </c>
      <c r="J68" s="17" t="str">
        <f t="shared" si="23"/>
        <v>อ้วนระดับ 1</v>
      </c>
      <c r="K68" s="10"/>
    </row>
    <row r="69" spans="1:11" ht="19.5" customHeight="1">
      <c r="A69" s="9">
        <v>60</v>
      </c>
      <c r="B69" s="9" t="s">
        <v>135</v>
      </c>
      <c r="C69" s="10" t="s">
        <v>136</v>
      </c>
      <c r="D69" s="11">
        <v>176</v>
      </c>
      <c r="E69" s="12">
        <v>72</v>
      </c>
      <c r="F69" s="13">
        <f t="shared" si="20"/>
        <v>23.243801652892564</v>
      </c>
      <c r="G69" s="14" t="str">
        <f t="shared" si="21"/>
        <v>น้ำหนักเกิน (ท้วม)</v>
      </c>
      <c r="H69" s="15">
        <v>71</v>
      </c>
      <c r="I69" s="16">
        <f t="shared" si="22"/>
        <v>22.920971074380166</v>
      </c>
      <c r="J69" s="17" t="str">
        <f t="shared" si="23"/>
        <v>สมส่วน (ปกติ)</v>
      </c>
      <c r="K69" s="10"/>
    </row>
    <row r="70" spans="1:11" ht="19.5" customHeight="1">
      <c r="A70" s="9">
        <v>61</v>
      </c>
      <c r="B70" s="9" t="s">
        <v>137</v>
      </c>
      <c r="C70" s="10" t="s">
        <v>138</v>
      </c>
      <c r="D70" s="11">
        <v>175</v>
      </c>
      <c r="E70" s="12">
        <v>58</v>
      </c>
      <c r="F70" s="13">
        <f t="shared" si="20"/>
        <v>18.938775510204081</v>
      </c>
      <c r="G70" s="14" t="str">
        <f t="shared" si="21"/>
        <v>สมส่วน (ปกติ)</v>
      </c>
      <c r="H70" s="15">
        <v>58</v>
      </c>
      <c r="I70" s="16">
        <f t="shared" si="22"/>
        <v>18.938775510204081</v>
      </c>
      <c r="J70" s="17" t="str">
        <f t="shared" si="23"/>
        <v>สมส่วน (ปกติ)</v>
      </c>
      <c r="K70" s="10"/>
    </row>
    <row r="71" spans="1:11" ht="19.5" customHeight="1">
      <c r="A71" s="9">
        <v>62</v>
      </c>
      <c r="B71" s="9" t="s">
        <v>139</v>
      </c>
      <c r="C71" s="10" t="s">
        <v>140</v>
      </c>
      <c r="D71" s="11">
        <v>174</v>
      </c>
      <c r="E71" s="12">
        <v>58</v>
      </c>
      <c r="F71" s="13">
        <f t="shared" si="20"/>
        <v>19.157088122605362</v>
      </c>
      <c r="G71" s="14" t="str">
        <f t="shared" si="21"/>
        <v>สมส่วน (ปกติ)</v>
      </c>
      <c r="H71" s="15">
        <v>60</v>
      </c>
      <c r="I71" s="16">
        <f t="shared" si="22"/>
        <v>19.817677368212443</v>
      </c>
      <c r="J71" s="17" t="str">
        <f t="shared" si="23"/>
        <v>สมส่วน (ปกติ)</v>
      </c>
      <c r="K71" s="10"/>
    </row>
    <row r="72" spans="1:11" ht="19.5" customHeight="1">
      <c r="A72" s="9">
        <v>63</v>
      </c>
      <c r="B72" s="9" t="s">
        <v>141</v>
      </c>
      <c r="C72" s="10" t="s">
        <v>142</v>
      </c>
      <c r="D72" s="11">
        <v>174</v>
      </c>
      <c r="E72" s="12">
        <v>61</v>
      </c>
      <c r="F72" s="13">
        <f t="shared" si="20"/>
        <v>20.147971991015986</v>
      </c>
      <c r="G72" s="14" t="str">
        <f t="shared" si="21"/>
        <v>สมส่วน (ปกติ)</v>
      </c>
      <c r="H72" s="15">
        <v>61</v>
      </c>
      <c r="I72" s="16">
        <f t="shared" si="22"/>
        <v>20.147971991015986</v>
      </c>
      <c r="J72" s="17" t="str">
        <f t="shared" si="23"/>
        <v>สมส่วน (ปกติ)</v>
      </c>
      <c r="K72" s="10"/>
    </row>
    <row r="73" spans="1:11" ht="19.5" customHeight="1">
      <c r="A73" s="2" t="s">
        <v>143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9.5" customHeight="1">
      <c r="A74" s="9">
        <v>64</v>
      </c>
      <c r="B74" s="9" t="s">
        <v>144</v>
      </c>
      <c r="C74" s="10" t="s">
        <v>145</v>
      </c>
      <c r="D74" s="11">
        <v>176</v>
      </c>
      <c r="E74" s="12">
        <v>61</v>
      </c>
      <c r="F74" s="13">
        <f t="shared" ref="F74:F83" si="24">IF(AND(ISNUMBER(D74), ISNUMBER(E74), D74&gt;0), E74/((D74/100)^2), "")</f>
        <v>19.692665289256198</v>
      </c>
      <c r="G74" s="14" t="str">
        <f t="shared" ref="G74:G83" si="25">IF(F74="","",IF(F74&lt;18.5,"ผอมเกินไป",IF(F74&lt;23,"สมส่วน (ปกติ)",IF(F74&lt;25,"น้ำหนักเกิน (ท้วม)",IF(F74&lt;30,"อ้วนระดับ 1","อ้วนระดับ 2 (อ้วนมาก)")))))</f>
        <v>สมส่วน (ปกติ)</v>
      </c>
      <c r="H74" s="15">
        <v>62</v>
      </c>
      <c r="I74" s="16">
        <f t="shared" ref="I74:I83" si="26">IF(AND(ISNUMBER(D74), ISNUMBER(H74), D74&gt;0), H74/((D74/100)^2), "")</f>
        <v>20.015495867768596</v>
      </c>
      <c r="J74" s="17" t="str">
        <f t="shared" ref="J74:J83" si="27">IF(I74="","",IF(I74&lt;18.5,"ผอมเกินไป",IF(I74&lt;23,"สมส่วน (ปกติ)",IF(I74&lt;25,"น้ำหนักเกิน (ท้วม)",IF(I74&lt;30,"อ้วนระดับ 1","อ้วนระดับ 2 (อ้วนมาก)")))))</f>
        <v>สมส่วน (ปกติ)</v>
      </c>
      <c r="K74" s="10"/>
    </row>
    <row r="75" spans="1:11" ht="19.5" customHeight="1">
      <c r="A75" s="9">
        <v>65</v>
      </c>
      <c r="B75" s="9" t="s">
        <v>146</v>
      </c>
      <c r="C75" s="10" t="s">
        <v>147</v>
      </c>
      <c r="D75" s="11">
        <v>176</v>
      </c>
      <c r="E75" s="12">
        <v>81</v>
      </c>
      <c r="F75" s="13">
        <f t="shared" si="24"/>
        <v>26.149276859504134</v>
      </c>
      <c r="G75" s="14" t="str">
        <f t="shared" si="25"/>
        <v>อ้วนระดับ 1</v>
      </c>
      <c r="H75" s="15">
        <v>80</v>
      </c>
      <c r="I75" s="16">
        <f t="shared" si="26"/>
        <v>25.826446280991735</v>
      </c>
      <c r="J75" s="17" t="str">
        <f t="shared" si="27"/>
        <v>อ้วนระดับ 1</v>
      </c>
      <c r="K75" s="10"/>
    </row>
    <row r="76" spans="1:11" ht="19.5" customHeight="1">
      <c r="A76" s="9">
        <v>66</v>
      </c>
      <c r="B76" s="9" t="s">
        <v>148</v>
      </c>
      <c r="C76" s="10" t="s">
        <v>149</v>
      </c>
      <c r="D76" s="11">
        <v>176</v>
      </c>
      <c r="E76" s="12">
        <v>65</v>
      </c>
      <c r="F76" s="13">
        <f t="shared" si="24"/>
        <v>20.983987603305785</v>
      </c>
      <c r="G76" s="14" t="str">
        <f t="shared" si="25"/>
        <v>สมส่วน (ปกติ)</v>
      </c>
      <c r="H76" s="15">
        <v>64</v>
      </c>
      <c r="I76" s="16">
        <f t="shared" si="26"/>
        <v>20.66115702479339</v>
      </c>
      <c r="J76" s="17" t="str">
        <f t="shared" si="27"/>
        <v>สมส่วน (ปกติ)</v>
      </c>
      <c r="K76" s="10"/>
    </row>
    <row r="77" spans="1:11" ht="19.5" customHeight="1">
      <c r="A77" s="9">
        <v>67</v>
      </c>
      <c r="B77" s="9" t="s">
        <v>150</v>
      </c>
      <c r="C77" s="10" t="s">
        <v>151</v>
      </c>
      <c r="D77" s="11">
        <v>175</v>
      </c>
      <c r="E77" s="12">
        <v>73</v>
      </c>
      <c r="F77" s="13">
        <f t="shared" si="24"/>
        <v>23.836734693877553</v>
      </c>
      <c r="G77" s="14" t="str">
        <f t="shared" si="25"/>
        <v>น้ำหนักเกิน (ท้วม)</v>
      </c>
      <c r="H77" s="15">
        <v>91</v>
      </c>
      <c r="I77" s="16">
        <f t="shared" si="26"/>
        <v>29.714285714285715</v>
      </c>
      <c r="J77" s="17" t="str">
        <f t="shared" si="27"/>
        <v>อ้วนระดับ 1</v>
      </c>
      <c r="K77" s="10"/>
    </row>
    <row r="78" spans="1:11" ht="19.5" customHeight="1">
      <c r="A78" s="9">
        <v>68</v>
      </c>
      <c r="B78" s="9" t="s">
        <v>152</v>
      </c>
      <c r="C78" s="10" t="s">
        <v>153</v>
      </c>
      <c r="D78" s="11">
        <v>174</v>
      </c>
      <c r="E78" s="12">
        <v>81</v>
      </c>
      <c r="F78" s="13">
        <f t="shared" si="24"/>
        <v>26.753864447086801</v>
      </c>
      <c r="G78" s="14" t="str">
        <f t="shared" si="25"/>
        <v>อ้วนระดับ 1</v>
      </c>
      <c r="H78" s="15">
        <v>81</v>
      </c>
      <c r="I78" s="16">
        <f t="shared" si="26"/>
        <v>26.753864447086801</v>
      </c>
      <c r="J78" s="17" t="str">
        <f t="shared" si="27"/>
        <v>อ้วนระดับ 1</v>
      </c>
      <c r="K78" s="10"/>
    </row>
    <row r="79" spans="1:11" ht="19.5" customHeight="1">
      <c r="A79" s="9">
        <v>69</v>
      </c>
      <c r="B79" s="9" t="s">
        <v>154</v>
      </c>
      <c r="C79" s="10" t="s">
        <v>155</v>
      </c>
      <c r="D79" s="11">
        <v>174</v>
      </c>
      <c r="E79" s="12">
        <v>85</v>
      </c>
      <c r="F79" s="13">
        <f t="shared" si="24"/>
        <v>28.075042938300964</v>
      </c>
      <c r="G79" s="14" t="str">
        <f t="shared" si="25"/>
        <v>อ้วนระดับ 1</v>
      </c>
      <c r="H79" s="15">
        <v>84</v>
      </c>
      <c r="I79" s="16">
        <f t="shared" si="26"/>
        <v>27.744748315497421</v>
      </c>
      <c r="J79" s="17" t="str">
        <f t="shared" si="27"/>
        <v>อ้วนระดับ 1</v>
      </c>
      <c r="K79" s="10"/>
    </row>
    <row r="80" spans="1:11" ht="19.5" customHeight="1">
      <c r="A80" s="9">
        <v>70</v>
      </c>
      <c r="B80" s="9" t="s">
        <v>156</v>
      </c>
      <c r="C80" s="10" t="s">
        <v>157</v>
      </c>
      <c r="D80" s="11">
        <v>175</v>
      </c>
      <c r="E80" s="12">
        <v>69</v>
      </c>
      <c r="F80" s="13">
        <f t="shared" si="24"/>
        <v>22.530612244897959</v>
      </c>
      <c r="G80" s="14" t="str">
        <f t="shared" si="25"/>
        <v>สมส่วน (ปกติ)</v>
      </c>
      <c r="H80" s="15">
        <v>69</v>
      </c>
      <c r="I80" s="16">
        <f t="shared" si="26"/>
        <v>22.530612244897959</v>
      </c>
      <c r="J80" s="17" t="str">
        <f t="shared" si="27"/>
        <v>สมส่วน (ปกติ)</v>
      </c>
      <c r="K80" s="10"/>
    </row>
    <row r="81" spans="1:11" ht="19.5" customHeight="1">
      <c r="A81" s="9">
        <v>71</v>
      </c>
      <c r="B81" s="9" t="s">
        <v>158</v>
      </c>
      <c r="C81" s="10" t="s">
        <v>159</v>
      </c>
      <c r="D81" s="11">
        <v>173</v>
      </c>
      <c r="E81" s="12">
        <v>61</v>
      </c>
      <c r="F81" s="13">
        <f t="shared" si="24"/>
        <v>20.381569714992146</v>
      </c>
      <c r="G81" s="14" t="str">
        <f t="shared" si="25"/>
        <v>สมส่วน (ปกติ)</v>
      </c>
      <c r="H81" s="15">
        <v>60</v>
      </c>
      <c r="I81" s="16">
        <f t="shared" si="26"/>
        <v>20.047445621303751</v>
      </c>
      <c r="J81" s="17" t="str">
        <f t="shared" si="27"/>
        <v>สมส่วน (ปกติ)</v>
      </c>
      <c r="K81" s="10"/>
    </row>
    <row r="82" spans="1:11" ht="19.5" customHeight="1">
      <c r="A82" s="9">
        <v>72</v>
      </c>
      <c r="B82" s="9" t="s">
        <v>160</v>
      </c>
      <c r="C82" s="10" t="s">
        <v>161</v>
      </c>
      <c r="D82" s="11">
        <v>173</v>
      </c>
      <c r="E82" s="12">
        <v>60</v>
      </c>
      <c r="F82" s="13">
        <f t="shared" si="24"/>
        <v>20.047445621303751</v>
      </c>
      <c r="G82" s="14" t="str">
        <f t="shared" si="25"/>
        <v>สมส่วน (ปกติ)</v>
      </c>
      <c r="H82" s="15">
        <v>60</v>
      </c>
      <c r="I82" s="16">
        <f t="shared" si="26"/>
        <v>20.047445621303751</v>
      </c>
      <c r="J82" s="17" t="str">
        <f t="shared" si="27"/>
        <v>สมส่วน (ปกติ)</v>
      </c>
      <c r="K82" s="10"/>
    </row>
    <row r="83" spans="1:11" ht="19.5" customHeight="1">
      <c r="A83" s="9">
        <v>73</v>
      </c>
      <c r="B83" s="9" t="s">
        <v>162</v>
      </c>
      <c r="C83" s="10" t="s">
        <v>163</v>
      </c>
      <c r="D83" s="11">
        <v>173</v>
      </c>
      <c r="E83" s="12">
        <v>70</v>
      </c>
      <c r="F83" s="13">
        <f t="shared" si="24"/>
        <v>23.388686558187711</v>
      </c>
      <c r="G83" s="14" t="str">
        <f t="shared" si="25"/>
        <v>น้ำหนักเกิน (ท้วม)</v>
      </c>
      <c r="H83" s="15">
        <v>70</v>
      </c>
      <c r="I83" s="16">
        <f t="shared" si="26"/>
        <v>23.388686558187711</v>
      </c>
      <c r="J83" s="17" t="str">
        <f t="shared" si="27"/>
        <v>น้ำหนักเกิน (ท้วม)</v>
      </c>
      <c r="K83" s="10"/>
    </row>
    <row r="84" spans="1:11" ht="19.5" customHeight="1">
      <c r="A84" s="2" t="s">
        <v>164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9.5" customHeight="1">
      <c r="A85" s="9">
        <v>74</v>
      </c>
      <c r="B85" s="9" t="s">
        <v>165</v>
      </c>
      <c r="C85" s="10" t="s">
        <v>166</v>
      </c>
      <c r="D85" s="11">
        <v>176</v>
      </c>
      <c r="E85" s="12">
        <v>59</v>
      </c>
      <c r="F85" s="13">
        <f t="shared" ref="F85:F93" si="28">IF(AND(ISNUMBER(D85), ISNUMBER(E85), D85&gt;0), E85/((D85/100)^2), "")</f>
        <v>19.047004132231404</v>
      </c>
      <c r="G85" s="14" t="str">
        <f t="shared" ref="G85:G93" si="29">IF(F85="","",IF(F85&lt;18.5,"ผอมเกินไป",IF(F85&lt;23,"สมส่วน (ปกติ)",IF(F85&lt;25,"น้ำหนักเกิน (ท้วม)",IF(F85&lt;30,"อ้วนระดับ 1","อ้วนระดับ 2 (อ้วนมาก)")))))</f>
        <v>สมส่วน (ปกติ)</v>
      </c>
      <c r="H85" s="15">
        <v>57</v>
      </c>
      <c r="I85" s="16">
        <f t="shared" ref="I85:I93" si="30">IF(AND(ISNUMBER(D85), ISNUMBER(H85), D85&gt;0), H85/((D85/100)^2), "")</f>
        <v>18.401342975206614</v>
      </c>
      <c r="J85" s="17" t="str">
        <f t="shared" ref="J85:J93" si="31">IF(I85="","",IF(I85&lt;18.5,"ผอมเกินไป",IF(I85&lt;23,"สมส่วน (ปกติ)",IF(I85&lt;25,"น้ำหนักเกิน (ท้วม)",IF(I85&lt;30,"อ้วนระดับ 1","อ้วนระดับ 2 (อ้วนมาก)")))))</f>
        <v>ผอมเกินไป</v>
      </c>
      <c r="K85" s="10"/>
    </row>
    <row r="86" spans="1:11" ht="19.5" customHeight="1">
      <c r="A86" s="9">
        <v>75</v>
      </c>
      <c r="B86" s="9" t="s">
        <v>167</v>
      </c>
      <c r="C86" s="10" t="s">
        <v>168</v>
      </c>
      <c r="D86" s="11">
        <v>176</v>
      </c>
      <c r="E86" s="12">
        <v>72</v>
      </c>
      <c r="F86" s="13">
        <f t="shared" si="28"/>
        <v>23.243801652892564</v>
      </c>
      <c r="G86" s="14" t="str">
        <f t="shared" si="29"/>
        <v>น้ำหนักเกิน (ท้วม)</v>
      </c>
      <c r="H86" s="15">
        <v>71</v>
      </c>
      <c r="I86" s="16">
        <f t="shared" si="30"/>
        <v>22.920971074380166</v>
      </c>
      <c r="J86" s="17" t="str">
        <f t="shared" si="31"/>
        <v>สมส่วน (ปกติ)</v>
      </c>
      <c r="K86" s="10"/>
    </row>
    <row r="87" spans="1:11" ht="19.5" customHeight="1">
      <c r="A87" s="9">
        <v>76</v>
      </c>
      <c r="B87" s="9" t="s">
        <v>169</v>
      </c>
      <c r="C87" s="10" t="s">
        <v>170</v>
      </c>
      <c r="D87" s="11">
        <v>176</v>
      </c>
      <c r="E87" s="12">
        <v>56</v>
      </c>
      <c r="F87" s="13">
        <f t="shared" si="28"/>
        <v>18.078512396694215</v>
      </c>
      <c r="G87" s="14" t="str">
        <f t="shared" si="29"/>
        <v>ผอมเกินไป</v>
      </c>
      <c r="H87" s="15">
        <v>56</v>
      </c>
      <c r="I87" s="16">
        <f t="shared" si="30"/>
        <v>18.078512396694215</v>
      </c>
      <c r="J87" s="17" t="str">
        <f t="shared" si="31"/>
        <v>ผอมเกินไป</v>
      </c>
      <c r="K87" s="10"/>
    </row>
    <row r="88" spans="1:11" ht="19.5" customHeight="1">
      <c r="A88" s="9">
        <v>77</v>
      </c>
      <c r="B88" s="9" t="s">
        <v>171</v>
      </c>
      <c r="C88" s="10" t="s">
        <v>172</v>
      </c>
      <c r="D88" s="11">
        <v>176</v>
      </c>
      <c r="E88" s="12">
        <v>83</v>
      </c>
      <c r="F88" s="13">
        <f t="shared" si="28"/>
        <v>26.794938016528928</v>
      </c>
      <c r="G88" s="14" t="str">
        <f t="shared" si="29"/>
        <v>อ้วนระดับ 1</v>
      </c>
      <c r="H88" s="15">
        <v>83</v>
      </c>
      <c r="I88" s="16">
        <f t="shared" si="30"/>
        <v>26.794938016528928</v>
      </c>
      <c r="J88" s="17" t="str">
        <f t="shared" si="31"/>
        <v>อ้วนระดับ 1</v>
      </c>
      <c r="K88" s="10"/>
    </row>
    <row r="89" spans="1:11" ht="19.5" customHeight="1">
      <c r="A89" s="9">
        <v>78</v>
      </c>
      <c r="B89" s="9" t="s">
        <v>173</v>
      </c>
      <c r="C89" s="10" t="s">
        <v>174</v>
      </c>
      <c r="D89" s="11">
        <v>176</v>
      </c>
      <c r="E89" s="12">
        <v>76</v>
      </c>
      <c r="F89" s="13">
        <f t="shared" si="28"/>
        <v>24.535123966942148</v>
      </c>
      <c r="G89" s="14" t="str">
        <f t="shared" si="29"/>
        <v>น้ำหนักเกิน (ท้วม)</v>
      </c>
      <c r="H89" s="15">
        <v>76</v>
      </c>
      <c r="I89" s="16">
        <f t="shared" si="30"/>
        <v>24.535123966942148</v>
      </c>
      <c r="J89" s="17" t="str">
        <f t="shared" si="31"/>
        <v>น้ำหนักเกิน (ท้วม)</v>
      </c>
      <c r="K89" s="10"/>
    </row>
    <row r="90" spans="1:11" ht="19.5" customHeight="1">
      <c r="A90" s="9">
        <v>79</v>
      </c>
      <c r="B90" s="9" t="s">
        <v>175</v>
      </c>
      <c r="C90" s="10" t="s">
        <v>176</v>
      </c>
      <c r="D90" s="11">
        <v>175</v>
      </c>
      <c r="E90" s="12">
        <v>82</v>
      </c>
      <c r="F90" s="13">
        <f t="shared" si="28"/>
        <v>26.775510204081634</v>
      </c>
      <c r="G90" s="14" t="str">
        <f t="shared" si="29"/>
        <v>อ้วนระดับ 1</v>
      </c>
      <c r="H90" s="15">
        <v>81</v>
      </c>
      <c r="I90" s="16">
        <f t="shared" si="30"/>
        <v>26.448979591836736</v>
      </c>
      <c r="J90" s="17" t="str">
        <f t="shared" si="31"/>
        <v>อ้วนระดับ 1</v>
      </c>
      <c r="K90" s="10"/>
    </row>
    <row r="91" spans="1:11" ht="19.5" customHeight="1">
      <c r="A91" s="9">
        <v>80</v>
      </c>
      <c r="B91" s="9" t="s">
        <v>177</v>
      </c>
      <c r="C91" s="10" t="s">
        <v>178</v>
      </c>
      <c r="D91" s="11">
        <v>175</v>
      </c>
      <c r="E91" s="12">
        <v>56</v>
      </c>
      <c r="F91" s="13">
        <f t="shared" si="28"/>
        <v>18.285714285714285</v>
      </c>
      <c r="G91" s="14" t="str">
        <f t="shared" si="29"/>
        <v>ผอมเกินไป</v>
      </c>
      <c r="H91" s="15">
        <v>56</v>
      </c>
      <c r="I91" s="16">
        <f t="shared" si="30"/>
        <v>18.285714285714285</v>
      </c>
      <c r="J91" s="17" t="str">
        <f t="shared" si="31"/>
        <v>ผอมเกินไป</v>
      </c>
      <c r="K91" s="10"/>
    </row>
    <row r="92" spans="1:11" ht="19.5" customHeight="1">
      <c r="A92" s="9">
        <v>81</v>
      </c>
      <c r="B92" s="9" t="s">
        <v>179</v>
      </c>
      <c r="C92" s="10" t="s">
        <v>180</v>
      </c>
      <c r="D92" s="11">
        <v>175</v>
      </c>
      <c r="E92" s="12">
        <v>65</v>
      </c>
      <c r="F92" s="13">
        <f t="shared" si="28"/>
        <v>21.224489795918366</v>
      </c>
      <c r="G92" s="14" t="str">
        <f t="shared" si="29"/>
        <v>สมส่วน (ปกติ)</v>
      </c>
      <c r="H92" s="15">
        <v>65</v>
      </c>
      <c r="I92" s="16">
        <f t="shared" si="30"/>
        <v>21.224489795918366</v>
      </c>
      <c r="J92" s="17" t="str">
        <f t="shared" si="31"/>
        <v>สมส่วน (ปกติ)</v>
      </c>
      <c r="K92" s="10"/>
    </row>
    <row r="93" spans="1:11" ht="19.5" customHeight="1">
      <c r="A93" s="9">
        <v>82</v>
      </c>
      <c r="B93" s="9" t="s">
        <v>181</v>
      </c>
      <c r="C93" s="10" t="s">
        <v>182</v>
      </c>
      <c r="D93" s="11">
        <v>174</v>
      </c>
      <c r="E93" s="12">
        <v>73</v>
      </c>
      <c r="F93" s="13">
        <f t="shared" si="28"/>
        <v>24.111507464658473</v>
      </c>
      <c r="G93" s="14" t="str">
        <f t="shared" si="29"/>
        <v>น้ำหนักเกิน (ท้วม)</v>
      </c>
      <c r="H93" s="15">
        <v>73</v>
      </c>
      <c r="I93" s="16">
        <f t="shared" si="30"/>
        <v>24.111507464658473</v>
      </c>
      <c r="J93" s="17" t="str">
        <f t="shared" si="31"/>
        <v>น้ำหนักเกิน (ท้วม)</v>
      </c>
      <c r="K93" s="10"/>
    </row>
    <row r="94" spans="1:11" ht="19.5" customHeight="1">
      <c r="A94" s="18">
        <v>83</v>
      </c>
      <c r="B94" s="18" t="s">
        <v>183</v>
      </c>
      <c r="C94" s="19" t="s">
        <v>184</v>
      </c>
      <c r="D94" s="1" t="s">
        <v>185</v>
      </c>
      <c r="E94" s="1"/>
      <c r="F94" s="1"/>
      <c r="G94" s="1"/>
      <c r="H94" s="1"/>
      <c r="I94" s="1"/>
      <c r="J94" s="1"/>
      <c r="K94" s="1"/>
    </row>
    <row r="95" spans="1:11" ht="19.5" customHeight="1">
      <c r="A95" s="2" t="s">
        <v>186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9.5" customHeight="1">
      <c r="A96" s="9">
        <v>84</v>
      </c>
      <c r="B96" s="9" t="s">
        <v>187</v>
      </c>
      <c r="C96" s="10" t="s">
        <v>188</v>
      </c>
      <c r="D96" s="11">
        <v>174</v>
      </c>
      <c r="E96" s="12">
        <v>64</v>
      </c>
      <c r="F96" s="13">
        <f t="shared" ref="F96:F105" si="32">IF(AND(ISNUMBER(D96), ISNUMBER(E96), D96&gt;0), E96/((D96/100)^2), "")</f>
        <v>21.138855859426609</v>
      </c>
      <c r="G96" s="14" t="str">
        <f t="shared" ref="G96:G105" si="33">IF(F96="","",IF(F96&lt;18.5,"ผอมเกินไป",IF(F96&lt;23,"สมส่วน (ปกติ)",IF(F96&lt;25,"น้ำหนักเกิน (ท้วม)",IF(F96&lt;30,"อ้วนระดับ 1","อ้วนระดับ 2 (อ้วนมาก)")))))</f>
        <v>สมส่วน (ปกติ)</v>
      </c>
      <c r="H96" s="15">
        <v>63</v>
      </c>
      <c r="I96" s="16">
        <f t="shared" ref="I96:I105" si="34">IF(AND(ISNUMBER(D96), ISNUMBER(H96), D96&gt;0), H96/((D96/100)^2), "")</f>
        <v>20.808561236623067</v>
      </c>
      <c r="J96" s="17" t="str">
        <f t="shared" ref="J96:J105" si="35">IF(I96="","",IF(I96&lt;18.5,"ผอมเกินไป",IF(I96&lt;23,"สมส่วน (ปกติ)",IF(I96&lt;25,"น้ำหนักเกิน (ท้วม)",IF(I96&lt;30,"อ้วนระดับ 1","อ้วนระดับ 2 (อ้วนมาก)")))))</f>
        <v>สมส่วน (ปกติ)</v>
      </c>
      <c r="K96" s="10"/>
    </row>
    <row r="97" spans="1:11" ht="19.5" customHeight="1">
      <c r="A97" s="9">
        <v>85</v>
      </c>
      <c r="B97" s="9" t="s">
        <v>189</v>
      </c>
      <c r="C97" s="10" t="s">
        <v>190</v>
      </c>
      <c r="D97" s="11">
        <v>176</v>
      </c>
      <c r="E97" s="12">
        <v>96</v>
      </c>
      <c r="F97" s="13">
        <f t="shared" si="32"/>
        <v>30.991735537190085</v>
      </c>
      <c r="G97" s="14" t="str">
        <f t="shared" si="33"/>
        <v>อ้วนระดับ 2 (อ้วนมาก)</v>
      </c>
      <c r="H97" s="15">
        <v>94</v>
      </c>
      <c r="I97" s="16">
        <f t="shared" si="34"/>
        <v>30.346074380165291</v>
      </c>
      <c r="J97" s="17" t="str">
        <f t="shared" si="35"/>
        <v>อ้วนระดับ 2 (อ้วนมาก)</v>
      </c>
      <c r="K97" s="10"/>
    </row>
    <row r="98" spans="1:11" ht="19.5" customHeight="1">
      <c r="A98" s="9">
        <v>86</v>
      </c>
      <c r="B98" s="9" t="s">
        <v>191</v>
      </c>
      <c r="C98" s="10" t="s">
        <v>192</v>
      </c>
      <c r="D98" s="11">
        <v>176</v>
      </c>
      <c r="E98" s="12">
        <v>74</v>
      </c>
      <c r="F98" s="13">
        <f t="shared" si="32"/>
        <v>23.889462809917354</v>
      </c>
      <c r="G98" s="14" t="str">
        <f t="shared" si="33"/>
        <v>น้ำหนักเกิน (ท้วม)</v>
      </c>
      <c r="H98" s="15">
        <v>72</v>
      </c>
      <c r="I98" s="16">
        <f t="shared" si="34"/>
        <v>23.243801652892564</v>
      </c>
      <c r="J98" s="17" t="str">
        <f t="shared" si="35"/>
        <v>น้ำหนักเกิน (ท้วม)</v>
      </c>
      <c r="K98" s="10"/>
    </row>
    <row r="99" spans="1:11" ht="19.5" customHeight="1">
      <c r="A99" s="9">
        <v>87</v>
      </c>
      <c r="B99" s="9" t="s">
        <v>193</v>
      </c>
      <c r="C99" s="10" t="s">
        <v>194</v>
      </c>
      <c r="D99" s="11">
        <v>175</v>
      </c>
      <c r="E99" s="12">
        <v>64</v>
      </c>
      <c r="F99" s="13">
        <f t="shared" si="32"/>
        <v>20.897959183673468</v>
      </c>
      <c r="G99" s="14" t="str">
        <f t="shared" si="33"/>
        <v>สมส่วน (ปกติ)</v>
      </c>
      <c r="H99" s="15">
        <v>63</v>
      </c>
      <c r="I99" s="16">
        <f t="shared" si="34"/>
        <v>20.571428571428573</v>
      </c>
      <c r="J99" s="17" t="str">
        <f t="shared" si="35"/>
        <v>สมส่วน (ปกติ)</v>
      </c>
      <c r="K99" s="10"/>
    </row>
    <row r="100" spans="1:11" ht="19.5" customHeight="1">
      <c r="A100" s="9">
        <v>88</v>
      </c>
      <c r="B100" s="9" t="s">
        <v>195</v>
      </c>
      <c r="C100" s="10" t="s">
        <v>196</v>
      </c>
      <c r="D100" s="11">
        <v>176</v>
      </c>
      <c r="E100" s="12">
        <v>84</v>
      </c>
      <c r="F100" s="13">
        <f t="shared" si="32"/>
        <v>27.117768595041323</v>
      </c>
      <c r="G100" s="14" t="str">
        <f t="shared" si="33"/>
        <v>อ้วนระดับ 1</v>
      </c>
      <c r="H100" s="15">
        <v>82</v>
      </c>
      <c r="I100" s="16">
        <f t="shared" si="34"/>
        <v>26.472107438016529</v>
      </c>
      <c r="J100" s="17" t="str">
        <f t="shared" si="35"/>
        <v>อ้วนระดับ 1</v>
      </c>
      <c r="K100" s="10"/>
    </row>
    <row r="101" spans="1:11" ht="19.5" customHeight="1">
      <c r="A101" s="9">
        <v>89</v>
      </c>
      <c r="B101" s="9" t="s">
        <v>197</v>
      </c>
      <c r="C101" s="10" t="s">
        <v>198</v>
      </c>
      <c r="D101" s="11">
        <v>175</v>
      </c>
      <c r="E101" s="12">
        <v>67</v>
      </c>
      <c r="F101" s="13">
        <f t="shared" si="32"/>
        <v>21.877551020408163</v>
      </c>
      <c r="G101" s="14" t="str">
        <f t="shared" si="33"/>
        <v>สมส่วน (ปกติ)</v>
      </c>
      <c r="H101" s="15">
        <v>68</v>
      </c>
      <c r="I101" s="16">
        <f t="shared" si="34"/>
        <v>22.204081632653061</v>
      </c>
      <c r="J101" s="17" t="str">
        <f t="shared" si="35"/>
        <v>สมส่วน (ปกติ)</v>
      </c>
      <c r="K101" s="10"/>
    </row>
    <row r="102" spans="1:11" ht="19.5" customHeight="1">
      <c r="A102" s="9">
        <v>90</v>
      </c>
      <c r="B102" s="9" t="s">
        <v>199</v>
      </c>
      <c r="C102" s="10" t="s">
        <v>200</v>
      </c>
      <c r="D102" s="11">
        <v>175</v>
      </c>
      <c r="E102" s="12">
        <v>55</v>
      </c>
      <c r="F102" s="13">
        <f t="shared" si="32"/>
        <v>17.959183673469386</v>
      </c>
      <c r="G102" s="14" t="str">
        <f t="shared" si="33"/>
        <v>ผอมเกินไป</v>
      </c>
      <c r="H102" s="15">
        <v>56</v>
      </c>
      <c r="I102" s="16">
        <f t="shared" si="34"/>
        <v>18.285714285714285</v>
      </c>
      <c r="J102" s="17" t="str">
        <f t="shared" si="35"/>
        <v>ผอมเกินไป</v>
      </c>
      <c r="K102" s="10"/>
    </row>
    <row r="103" spans="1:11" ht="19.5" customHeight="1">
      <c r="A103" s="9">
        <v>91</v>
      </c>
      <c r="B103" s="9" t="s">
        <v>201</v>
      </c>
      <c r="C103" s="10" t="s">
        <v>202</v>
      </c>
      <c r="D103" s="11">
        <v>174</v>
      </c>
      <c r="E103" s="12">
        <v>64</v>
      </c>
      <c r="F103" s="13">
        <f t="shared" si="32"/>
        <v>21.138855859426609</v>
      </c>
      <c r="G103" s="14" t="str">
        <f t="shared" si="33"/>
        <v>สมส่วน (ปกติ)</v>
      </c>
      <c r="H103" s="15">
        <v>63</v>
      </c>
      <c r="I103" s="16">
        <f t="shared" si="34"/>
        <v>20.808561236623067</v>
      </c>
      <c r="J103" s="17" t="str">
        <f t="shared" si="35"/>
        <v>สมส่วน (ปกติ)</v>
      </c>
      <c r="K103" s="10"/>
    </row>
    <row r="104" spans="1:11" ht="19.5" customHeight="1">
      <c r="A104" s="9">
        <v>92</v>
      </c>
      <c r="B104" s="9" t="s">
        <v>203</v>
      </c>
      <c r="C104" s="10" t="s">
        <v>204</v>
      </c>
      <c r="D104" s="11">
        <v>174</v>
      </c>
      <c r="E104" s="12">
        <v>76</v>
      </c>
      <c r="F104" s="13">
        <f t="shared" si="32"/>
        <v>25.102391333069097</v>
      </c>
      <c r="G104" s="14" t="str">
        <f t="shared" si="33"/>
        <v>อ้วนระดับ 1</v>
      </c>
      <c r="H104" s="15">
        <v>76</v>
      </c>
      <c r="I104" s="16">
        <f t="shared" si="34"/>
        <v>25.102391333069097</v>
      </c>
      <c r="J104" s="17" t="str">
        <f t="shared" si="35"/>
        <v>อ้วนระดับ 1</v>
      </c>
      <c r="K104" s="10"/>
    </row>
    <row r="105" spans="1:11" ht="19.5" customHeight="1">
      <c r="A105" s="9">
        <v>93</v>
      </c>
      <c r="B105" s="9" t="s">
        <v>205</v>
      </c>
      <c r="C105" s="10" t="s">
        <v>206</v>
      </c>
      <c r="D105" s="11">
        <v>174</v>
      </c>
      <c r="E105" s="12">
        <v>59</v>
      </c>
      <c r="F105" s="13">
        <f t="shared" si="32"/>
        <v>19.487382745408905</v>
      </c>
      <c r="G105" s="14" t="str">
        <f t="shared" si="33"/>
        <v>สมส่วน (ปกติ)</v>
      </c>
      <c r="H105" s="15">
        <v>60</v>
      </c>
      <c r="I105" s="16">
        <f t="shared" si="34"/>
        <v>19.817677368212443</v>
      </c>
      <c r="J105" s="17" t="str">
        <f t="shared" si="35"/>
        <v>สมส่วน (ปกติ)</v>
      </c>
      <c r="K105" s="10"/>
    </row>
    <row r="106" spans="1:11" ht="19.5" customHeight="1">
      <c r="A106" s="2" t="s">
        <v>207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9.5" customHeight="1">
      <c r="A107" s="9">
        <v>94</v>
      </c>
      <c r="B107" s="9" t="s">
        <v>208</v>
      </c>
      <c r="C107" s="10" t="s">
        <v>209</v>
      </c>
      <c r="D107" s="11">
        <v>176</v>
      </c>
      <c r="E107" s="12">
        <v>61</v>
      </c>
      <c r="F107" s="13">
        <f t="shared" ref="F107:F117" si="36">IF(AND(ISNUMBER(D107), ISNUMBER(E107), D107&gt;0), E107/((D107/100)^2), "")</f>
        <v>19.692665289256198</v>
      </c>
      <c r="G107" s="14" t="str">
        <f t="shared" ref="G107:G117" si="37">IF(F107="","",IF(F107&lt;18.5,"ผอมเกินไป",IF(F107&lt;23,"สมส่วน (ปกติ)",IF(F107&lt;25,"น้ำหนักเกิน (ท้วม)",IF(F107&lt;30,"อ้วนระดับ 1","อ้วนระดับ 2 (อ้วนมาก)")))))</f>
        <v>สมส่วน (ปกติ)</v>
      </c>
      <c r="H107" s="15">
        <v>62</v>
      </c>
      <c r="I107" s="16">
        <f t="shared" ref="I107:I117" si="38">IF(AND(ISNUMBER(D107), ISNUMBER(H107), D107&gt;0), H107/((D107/100)^2), "")</f>
        <v>20.015495867768596</v>
      </c>
      <c r="J107" s="17" t="str">
        <f t="shared" ref="J107:J117" si="39">IF(I107="","",IF(I107&lt;18.5,"ผอมเกินไป",IF(I107&lt;23,"สมส่วน (ปกติ)",IF(I107&lt;25,"น้ำหนักเกิน (ท้วม)",IF(I107&lt;30,"อ้วนระดับ 1","อ้วนระดับ 2 (อ้วนมาก)")))))</f>
        <v>สมส่วน (ปกติ)</v>
      </c>
      <c r="K107" s="10"/>
    </row>
    <row r="108" spans="1:11" ht="19.5" customHeight="1">
      <c r="A108" s="9">
        <v>95</v>
      </c>
      <c r="B108" s="9" t="s">
        <v>210</v>
      </c>
      <c r="C108" s="10" t="s">
        <v>211</v>
      </c>
      <c r="D108" s="11">
        <v>176</v>
      </c>
      <c r="E108" s="12">
        <v>72</v>
      </c>
      <c r="F108" s="13">
        <f t="shared" si="36"/>
        <v>23.243801652892564</v>
      </c>
      <c r="G108" s="14" t="str">
        <f t="shared" si="37"/>
        <v>น้ำหนักเกิน (ท้วม)</v>
      </c>
      <c r="H108" s="15">
        <v>73</v>
      </c>
      <c r="I108" s="16">
        <f t="shared" si="38"/>
        <v>23.566632231404959</v>
      </c>
      <c r="J108" s="17" t="str">
        <f t="shared" si="39"/>
        <v>น้ำหนักเกิน (ท้วม)</v>
      </c>
      <c r="K108" s="10"/>
    </row>
    <row r="109" spans="1:11" ht="19.5" customHeight="1">
      <c r="A109" s="9">
        <v>96</v>
      </c>
      <c r="B109" s="9" t="s">
        <v>212</v>
      </c>
      <c r="C109" s="10" t="s">
        <v>213</v>
      </c>
      <c r="D109" s="11">
        <v>176</v>
      </c>
      <c r="E109" s="12">
        <v>72</v>
      </c>
      <c r="F109" s="13">
        <f t="shared" si="36"/>
        <v>23.243801652892564</v>
      </c>
      <c r="G109" s="14" t="str">
        <f t="shared" si="37"/>
        <v>น้ำหนักเกิน (ท้วม)</v>
      </c>
      <c r="H109" s="15">
        <v>72</v>
      </c>
      <c r="I109" s="16">
        <f t="shared" si="38"/>
        <v>23.243801652892564</v>
      </c>
      <c r="J109" s="17" t="str">
        <f t="shared" si="39"/>
        <v>น้ำหนักเกิน (ท้วม)</v>
      </c>
      <c r="K109" s="10"/>
    </row>
    <row r="110" spans="1:11" ht="19.5" customHeight="1">
      <c r="A110" s="9">
        <v>97</v>
      </c>
      <c r="B110" s="9" t="s">
        <v>214</v>
      </c>
      <c r="C110" s="10" t="s">
        <v>215</v>
      </c>
      <c r="D110" s="11">
        <v>175</v>
      </c>
      <c r="E110" s="12">
        <v>60</v>
      </c>
      <c r="F110" s="13">
        <f t="shared" si="36"/>
        <v>19.591836734693878</v>
      </c>
      <c r="G110" s="14" t="str">
        <f t="shared" si="37"/>
        <v>สมส่วน (ปกติ)</v>
      </c>
      <c r="H110" s="15">
        <v>58</v>
      </c>
      <c r="I110" s="16">
        <f t="shared" si="38"/>
        <v>18.938775510204081</v>
      </c>
      <c r="J110" s="17" t="str">
        <f t="shared" si="39"/>
        <v>สมส่วน (ปกติ)</v>
      </c>
      <c r="K110" s="10"/>
    </row>
    <row r="111" spans="1:11" ht="19.5" customHeight="1">
      <c r="A111" s="9">
        <v>98</v>
      </c>
      <c r="B111" s="9" t="s">
        <v>216</v>
      </c>
      <c r="C111" s="10" t="s">
        <v>217</v>
      </c>
      <c r="D111" s="11">
        <v>175</v>
      </c>
      <c r="E111" s="12">
        <v>58</v>
      </c>
      <c r="F111" s="13">
        <f t="shared" si="36"/>
        <v>18.938775510204081</v>
      </c>
      <c r="G111" s="14" t="str">
        <f t="shared" si="37"/>
        <v>สมส่วน (ปกติ)</v>
      </c>
      <c r="H111" s="15">
        <v>57</v>
      </c>
      <c r="I111" s="16">
        <f t="shared" si="38"/>
        <v>18.612244897959183</v>
      </c>
      <c r="J111" s="17" t="str">
        <f t="shared" si="39"/>
        <v>สมส่วน (ปกติ)</v>
      </c>
      <c r="K111" s="10"/>
    </row>
    <row r="112" spans="1:11" ht="19.5" customHeight="1">
      <c r="A112" s="9">
        <v>99</v>
      </c>
      <c r="B112" s="9" t="s">
        <v>218</v>
      </c>
      <c r="C112" s="10" t="s">
        <v>219</v>
      </c>
      <c r="D112" s="11">
        <v>175</v>
      </c>
      <c r="E112" s="12">
        <v>70</v>
      </c>
      <c r="F112" s="13">
        <f t="shared" si="36"/>
        <v>22.857142857142858</v>
      </c>
      <c r="G112" s="14" t="str">
        <f t="shared" si="37"/>
        <v>สมส่วน (ปกติ)</v>
      </c>
      <c r="H112" s="15">
        <v>67</v>
      </c>
      <c r="I112" s="16">
        <f t="shared" si="38"/>
        <v>21.877551020408163</v>
      </c>
      <c r="J112" s="17" t="str">
        <f t="shared" si="39"/>
        <v>สมส่วน (ปกติ)</v>
      </c>
      <c r="K112" s="10"/>
    </row>
    <row r="113" spans="1:11" ht="19.5" customHeight="1">
      <c r="A113" s="9">
        <v>100</v>
      </c>
      <c r="B113" s="9" t="s">
        <v>220</v>
      </c>
      <c r="C113" s="10" t="s">
        <v>221</v>
      </c>
      <c r="D113" s="11">
        <v>173</v>
      </c>
      <c r="E113" s="12">
        <v>85</v>
      </c>
      <c r="F113" s="13">
        <f t="shared" si="36"/>
        <v>28.400547963513649</v>
      </c>
      <c r="G113" s="14" t="str">
        <f t="shared" si="37"/>
        <v>อ้วนระดับ 1</v>
      </c>
      <c r="H113" s="15">
        <v>85</v>
      </c>
      <c r="I113" s="16">
        <f t="shared" si="38"/>
        <v>28.400547963513649</v>
      </c>
      <c r="J113" s="17" t="str">
        <f t="shared" si="39"/>
        <v>อ้วนระดับ 1</v>
      </c>
      <c r="K113" s="10"/>
    </row>
    <row r="114" spans="1:11" ht="19.5" customHeight="1">
      <c r="A114" s="9">
        <v>101</v>
      </c>
      <c r="B114" s="9" t="s">
        <v>222</v>
      </c>
      <c r="C114" s="10" t="s">
        <v>223</v>
      </c>
      <c r="D114" s="11">
        <v>174</v>
      </c>
      <c r="E114" s="12">
        <v>81</v>
      </c>
      <c r="F114" s="13">
        <f t="shared" si="36"/>
        <v>26.753864447086801</v>
      </c>
      <c r="G114" s="14" t="str">
        <f t="shared" si="37"/>
        <v>อ้วนระดับ 1</v>
      </c>
      <c r="H114" s="15">
        <v>78</v>
      </c>
      <c r="I114" s="16">
        <f t="shared" si="38"/>
        <v>25.762980578676178</v>
      </c>
      <c r="J114" s="17" t="str">
        <f t="shared" si="39"/>
        <v>อ้วนระดับ 1</v>
      </c>
      <c r="K114" s="10"/>
    </row>
    <row r="115" spans="1:11" ht="19.5" customHeight="1">
      <c r="A115" s="9">
        <v>102</v>
      </c>
      <c r="B115" s="9" t="s">
        <v>224</v>
      </c>
      <c r="C115" s="10" t="s">
        <v>225</v>
      </c>
      <c r="D115" s="11">
        <v>173</v>
      </c>
      <c r="E115" s="12">
        <v>59</v>
      </c>
      <c r="F115" s="13">
        <f t="shared" si="36"/>
        <v>19.713321527615356</v>
      </c>
      <c r="G115" s="14" t="str">
        <f t="shared" si="37"/>
        <v>สมส่วน (ปกติ)</v>
      </c>
      <c r="H115" s="15">
        <v>58</v>
      </c>
      <c r="I115" s="16">
        <f t="shared" si="38"/>
        <v>19.379197433926961</v>
      </c>
      <c r="J115" s="17" t="str">
        <f t="shared" si="39"/>
        <v>สมส่วน (ปกติ)</v>
      </c>
      <c r="K115" s="10"/>
    </row>
    <row r="116" spans="1:11" ht="19.5" customHeight="1">
      <c r="A116" s="9">
        <v>103</v>
      </c>
      <c r="B116" s="9" t="s">
        <v>226</v>
      </c>
      <c r="C116" s="10" t="s">
        <v>227</v>
      </c>
      <c r="D116" s="11">
        <v>174</v>
      </c>
      <c r="E116" s="12">
        <v>63</v>
      </c>
      <c r="F116" s="13">
        <f t="shared" si="36"/>
        <v>20.808561236623067</v>
      </c>
      <c r="G116" s="14" t="str">
        <f t="shared" si="37"/>
        <v>สมส่วน (ปกติ)</v>
      </c>
      <c r="H116" s="15">
        <v>61</v>
      </c>
      <c r="I116" s="16">
        <f t="shared" si="38"/>
        <v>20.147971991015986</v>
      </c>
      <c r="J116" s="17" t="str">
        <f t="shared" si="39"/>
        <v>สมส่วน (ปกติ)</v>
      </c>
      <c r="K116" s="10"/>
    </row>
    <row r="117" spans="1:11" ht="19.5" customHeight="1">
      <c r="A117" s="9">
        <v>104</v>
      </c>
      <c r="B117" s="9" t="s">
        <v>228</v>
      </c>
      <c r="C117" s="10" t="s">
        <v>229</v>
      </c>
      <c r="D117" s="11">
        <v>173</v>
      </c>
      <c r="E117" s="12">
        <v>55</v>
      </c>
      <c r="F117" s="13">
        <f t="shared" si="36"/>
        <v>18.376825152861773</v>
      </c>
      <c r="G117" s="14" t="str">
        <f t="shared" si="37"/>
        <v>ผอมเกินไป</v>
      </c>
      <c r="H117" s="15">
        <v>54</v>
      </c>
      <c r="I117" s="16">
        <f t="shared" si="38"/>
        <v>18.042701059173375</v>
      </c>
      <c r="J117" s="17" t="str">
        <f t="shared" si="39"/>
        <v>ผอมเกินไป</v>
      </c>
      <c r="K117" s="10"/>
    </row>
    <row r="118" spans="1:11" ht="19.5" customHeight="1">
      <c r="A118" s="2" t="s">
        <v>230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9.5" customHeight="1">
      <c r="A119" s="9">
        <v>105</v>
      </c>
      <c r="B119" s="9" t="s">
        <v>231</v>
      </c>
      <c r="C119" s="10" t="s">
        <v>232</v>
      </c>
      <c r="D119" s="11">
        <v>173</v>
      </c>
      <c r="E119" s="12">
        <v>57</v>
      </c>
      <c r="F119" s="13">
        <f t="shared" ref="F119:F129" si="40">IF(AND(ISNUMBER(D119), ISNUMBER(E119), D119&gt;0), E119/((D119/100)^2), "")</f>
        <v>19.045073340238563</v>
      </c>
      <c r="G119" s="14" t="str">
        <f t="shared" ref="G119:G129" si="41">IF(F119="","",IF(F119&lt;18.5,"ผอมเกินไป",IF(F119&lt;23,"สมส่วน (ปกติ)",IF(F119&lt;25,"น้ำหนักเกิน (ท้วม)",IF(F119&lt;30,"อ้วนระดับ 1","อ้วนระดับ 2 (อ้วนมาก)")))))</f>
        <v>สมส่วน (ปกติ)</v>
      </c>
      <c r="H119" s="15">
        <v>56</v>
      </c>
      <c r="I119" s="16">
        <f t="shared" ref="I119:I129" si="42">IF(AND(ISNUMBER(D119), ISNUMBER(H119), D119&gt;0), H119/((D119/100)^2), "")</f>
        <v>18.710949246550168</v>
      </c>
      <c r="J119" s="17" t="str">
        <f t="shared" ref="J119:J129" si="43">IF(I119="","",IF(I119&lt;18.5,"ผอมเกินไป",IF(I119&lt;23,"สมส่วน (ปกติ)",IF(I119&lt;25,"น้ำหนักเกิน (ท้วม)",IF(I119&lt;30,"อ้วนระดับ 1","อ้วนระดับ 2 (อ้วนมาก)")))))</f>
        <v>สมส่วน (ปกติ)</v>
      </c>
      <c r="K119" s="10"/>
    </row>
    <row r="120" spans="1:11" ht="19.5" customHeight="1">
      <c r="A120" s="9">
        <v>106</v>
      </c>
      <c r="B120" s="9" t="s">
        <v>233</v>
      </c>
      <c r="C120" s="10" t="s">
        <v>234</v>
      </c>
      <c r="D120" s="11">
        <v>173</v>
      </c>
      <c r="E120" s="12">
        <v>75</v>
      </c>
      <c r="F120" s="13">
        <f t="shared" si="40"/>
        <v>25.059307026629689</v>
      </c>
      <c r="G120" s="14" t="str">
        <f t="shared" si="41"/>
        <v>อ้วนระดับ 1</v>
      </c>
      <c r="H120" s="15">
        <v>75</v>
      </c>
      <c r="I120" s="16">
        <f t="shared" si="42"/>
        <v>25.059307026629689</v>
      </c>
      <c r="J120" s="17" t="str">
        <f t="shared" si="43"/>
        <v>อ้วนระดับ 1</v>
      </c>
      <c r="K120" s="10"/>
    </row>
    <row r="121" spans="1:11" ht="19.5" customHeight="1">
      <c r="A121" s="9">
        <v>107</v>
      </c>
      <c r="B121" s="9" t="s">
        <v>235</v>
      </c>
      <c r="C121" s="10" t="s">
        <v>236</v>
      </c>
      <c r="D121" s="11">
        <v>173</v>
      </c>
      <c r="E121" s="12">
        <v>61</v>
      </c>
      <c r="F121" s="13">
        <f t="shared" si="40"/>
        <v>20.381569714992146</v>
      </c>
      <c r="G121" s="14" t="str">
        <f t="shared" si="41"/>
        <v>สมส่วน (ปกติ)</v>
      </c>
      <c r="H121" s="15">
        <v>63</v>
      </c>
      <c r="I121" s="16">
        <f t="shared" si="42"/>
        <v>21.04981790236894</v>
      </c>
      <c r="J121" s="17" t="str">
        <f t="shared" si="43"/>
        <v>สมส่วน (ปกติ)</v>
      </c>
      <c r="K121" s="10"/>
    </row>
    <row r="122" spans="1:11" ht="19.5" customHeight="1">
      <c r="A122" s="9">
        <v>108</v>
      </c>
      <c r="B122" s="9" t="s">
        <v>237</v>
      </c>
      <c r="C122" s="10" t="s">
        <v>238</v>
      </c>
      <c r="D122" s="11">
        <v>173</v>
      </c>
      <c r="E122" s="12">
        <v>61</v>
      </c>
      <c r="F122" s="13">
        <f t="shared" si="40"/>
        <v>20.381569714992146</v>
      </c>
      <c r="G122" s="14" t="str">
        <f t="shared" si="41"/>
        <v>สมส่วน (ปกติ)</v>
      </c>
      <c r="H122" s="15">
        <v>62</v>
      </c>
      <c r="I122" s="16">
        <f t="shared" si="42"/>
        <v>20.715693808680545</v>
      </c>
      <c r="J122" s="17" t="str">
        <f t="shared" si="43"/>
        <v>สมส่วน (ปกติ)</v>
      </c>
      <c r="K122" s="10"/>
    </row>
    <row r="123" spans="1:11" ht="19.5" customHeight="1">
      <c r="A123" s="9">
        <v>109</v>
      </c>
      <c r="B123" s="9" t="s">
        <v>239</v>
      </c>
      <c r="C123" s="10" t="s">
        <v>240</v>
      </c>
      <c r="D123" s="11">
        <v>173</v>
      </c>
      <c r="E123" s="12">
        <v>81</v>
      </c>
      <c r="F123" s="13">
        <f t="shared" si="40"/>
        <v>27.064051588760066</v>
      </c>
      <c r="G123" s="14" t="str">
        <f t="shared" si="41"/>
        <v>อ้วนระดับ 1</v>
      </c>
      <c r="H123" s="15">
        <v>81</v>
      </c>
      <c r="I123" s="16">
        <f t="shared" si="42"/>
        <v>27.064051588760066</v>
      </c>
      <c r="J123" s="17" t="str">
        <f t="shared" si="43"/>
        <v>อ้วนระดับ 1</v>
      </c>
      <c r="K123" s="10"/>
    </row>
    <row r="124" spans="1:11" ht="19.5" customHeight="1">
      <c r="A124" s="9">
        <v>110</v>
      </c>
      <c r="B124" s="9" t="s">
        <v>241</v>
      </c>
      <c r="C124" s="10" t="s">
        <v>242</v>
      </c>
      <c r="D124" s="11">
        <v>173</v>
      </c>
      <c r="E124" s="12">
        <v>63</v>
      </c>
      <c r="F124" s="13">
        <f t="shared" si="40"/>
        <v>21.04981790236894</v>
      </c>
      <c r="G124" s="14" t="str">
        <f t="shared" si="41"/>
        <v>สมส่วน (ปกติ)</v>
      </c>
      <c r="H124" s="15">
        <v>63</v>
      </c>
      <c r="I124" s="16">
        <f t="shared" si="42"/>
        <v>21.04981790236894</v>
      </c>
      <c r="J124" s="17" t="str">
        <f t="shared" si="43"/>
        <v>สมส่วน (ปกติ)</v>
      </c>
      <c r="K124" s="10"/>
    </row>
    <row r="125" spans="1:11" ht="19.5" customHeight="1">
      <c r="A125" s="9">
        <v>111</v>
      </c>
      <c r="B125" s="9" t="s">
        <v>243</v>
      </c>
      <c r="C125" s="10" t="s">
        <v>244</v>
      </c>
      <c r="D125" s="11">
        <v>173</v>
      </c>
      <c r="E125" s="12">
        <v>61</v>
      </c>
      <c r="F125" s="13">
        <f t="shared" si="40"/>
        <v>20.381569714992146</v>
      </c>
      <c r="G125" s="14" t="str">
        <f t="shared" si="41"/>
        <v>สมส่วน (ปกติ)</v>
      </c>
      <c r="H125" s="15">
        <v>61</v>
      </c>
      <c r="I125" s="16">
        <f t="shared" si="42"/>
        <v>20.381569714992146</v>
      </c>
      <c r="J125" s="17" t="str">
        <f t="shared" si="43"/>
        <v>สมส่วน (ปกติ)</v>
      </c>
      <c r="K125" s="10"/>
    </row>
    <row r="126" spans="1:11" ht="19.5" customHeight="1">
      <c r="A126" s="9">
        <v>112</v>
      </c>
      <c r="B126" s="9" t="s">
        <v>245</v>
      </c>
      <c r="C126" s="10" t="s">
        <v>246</v>
      </c>
      <c r="D126" s="11">
        <v>172</v>
      </c>
      <c r="E126" s="12">
        <v>58</v>
      </c>
      <c r="F126" s="13">
        <f t="shared" si="40"/>
        <v>19.605191995673341</v>
      </c>
      <c r="G126" s="14" t="str">
        <f t="shared" si="41"/>
        <v>สมส่วน (ปกติ)</v>
      </c>
      <c r="H126" s="15">
        <v>57</v>
      </c>
      <c r="I126" s="16">
        <f t="shared" si="42"/>
        <v>19.267171444023798</v>
      </c>
      <c r="J126" s="17" t="str">
        <f t="shared" si="43"/>
        <v>สมส่วน (ปกติ)</v>
      </c>
      <c r="K126" s="10"/>
    </row>
    <row r="127" spans="1:11" ht="19.5" customHeight="1">
      <c r="A127" s="9">
        <v>113</v>
      </c>
      <c r="B127" s="9" t="s">
        <v>247</v>
      </c>
      <c r="C127" s="10" t="s">
        <v>248</v>
      </c>
      <c r="D127" s="11">
        <v>172</v>
      </c>
      <c r="E127" s="12">
        <v>84</v>
      </c>
      <c r="F127" s="13">
        <f t="shared" si="40"/>
        <v>28.393726338561386</v>
      </c>
      <c r="G127" s="14" t="str">
        <f t="shared" si="41"/>
        <v>อ้วนระดับ 1</v>
      </c>
      <c r="H127" s="15">
        <v>83</v>
      </c>
      <c r="I127" s="16">
        <f t="shared" si="42"/>
        <v>28.055705786911847</v>
      </c>
      <c r="J127" s="17" t="str">
        <f t="shared" si="43"/>
        <v>อ้วนระดับ 1</v>
      </c>
      <c r="K127" s="10"/>
    </row>
    <row r="128" spans="1:11" ht="19.5" customHeight="1">
      <c r="A128" s="9">
        <v>114</v>
      </c>
      <c r="B128" s="9" t="s">
        <v>249</v>
      </c>
      <c r="C128" s="10" t="s">
        <v>250</v>
      </c>
      <c r="D128" s="11">
        <v>173</v>
      </c>
      <c r="E128" s="12">
        <v>79</v>
      </c>
      <c r="F128" s="13">
        <f t="shared" si="40"/>
        <v>26.395803401383272</v>
      </c>
      <c r="G128" s="14" t="str">
        <f t="shared" si="41"/>
        <v>อ้วนระดับ 1</v>
      </c>
      <c r="H128" s="15">
        <v>79</v>
      </c>
      <c r="I128" s="16">
        <f t="shared" si="42"/>
        <v>26.395803401383272</v>
      </c>
      <c r="J128" s="17" t="str">
        <f t="shared" si="43"/>
        <v>อ้วนระดับ 1</v>
      </c>
      <c r="K128" s="10"/>
    </row>
    <row r="129" spans="1:11" ht="19.5" customHeight="1">
      <c r="A129" s="9">
        <v>115</v>
      </c>
      <c r="B129" s="9" t="s">
        <v>251</v>
      </c>
      <c r="C129" s="10" t="s">
        <v>252</v>
      </c>
      <c r="D129" s="11">
        <v>172</v>
      </c>
      <c r="E129" s="12">
        <v>73</v>
      </c>
      <c r="F129" s="13">
        <f t="shared" si="40"/>
        <v>24.675500270416443</v>
      </c>
      <c r="G129" s="14" t="str">
        <f t="shared" si="41"/>
        <v>น้ำหนักเกิน (ท้วม)</v>
      </c>
      <c r="H129" s="15">
        <v>73</v>
      </c>
      <c r="I129" s="16">
        <f t="shared" si="42"/>
        <v>24.675500270416443</v>
      </c>
      <c r="J129" s="17" t="str">
        <f t="shared" si="43"/>
        <v>น้ำหนักเกิน (ท้วม)</v>
      </c>
      <c r="K129" s="10"/>
    </row>
    <row r="130" spans="1:11" ht="19.5" customHeight="1">
      <c r="A130" s="2" t="s">
        <v>253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9.5" customHeight="1">
      <c r="A131" s="9">
        <v>116</v>
      </c>
      <c r="B131" s="9" t="s">
        <v>254</v>
      </c>
      <c r="C131" s="10" t="s">
        <v>255</v>
      </c>
      <c r="D131" s="11">
        <v>172</v>
      </c>
      <c r="E131" s="12">
        <v>65</v>
      </c>
      <c r="F131" s="13">
        <f t="shared" ref="F131:F140" si="44">IF(AND(ISNUMBER(D131), ISNUMBER(E131), D131&gt;0), E131/((D131/100)^2), "")</f>
        <v>21.971335857220122</v>
      </c>
      <c r="G131" s="14" t="str">
        <f t="shared" ref="G131:G140" si="45">IF(F131="","",IF(F131&lt;18.5,"ผอมเกินไป",IF(F131&lt;23,"สมส่วน (ปกติ)",IF(F131&lt;25,"น้ำหนักเกิน (ท้วม)",IF(F131&lt;30,"อ้วนระดับ 1","อ้วนระดับ 2 (อ้วนมาก)")))))</f>
        <v>สมส่วน (ปกติ)</v>
      </c>
      <c r="H131" s="15">
        <v>64</v>
      </c>
      <c r="I131" s="16">
        <f t="shared" ref="I131:I140" si="46">IF(AND(ISNUMBER(D131), ISNUMBER(H131), D131&gt;0), H131/((D131/100)^2), "")</f>
        <v>21.63331530557058</v>
      </c>
      <c r="J131" s="17" t="str">
        <f t="shared" ref="J131:J140" si="47">IF(I131="","",IF(I131&lt;18.5,"ผอมเกินไป",IF(I131&lt;23,"สมส่วน (ปกติ)",IF(I131&lt;25,"น้ำหนักเกิน (ท้วม)",IF(I131&lt;30,"อ้วนระดับ 1","อ้วนระดับ 2 (อ้วนมาก)")))))</f>
        <v>สมส่วน (ปกติ)</v>
      </c>
      <c r="K131" s="10"/>
    </row>
    <row r="132" spans="1:11" ht="19.5" customHeight="1">
      <c r="A132" s="9">
        <v>117</v>
      </c>
      <c r="B132" s="9" t="s">
        <v>256</v>
      </c>
      <c r="C132" s="10" t="s">
        <v>257</v>
      </c>
      <c r="D132" s="11">
        <v>173</v>
      </c>
      <c r="E132" s="12">
        <v>71</v>
      </c>
      <c r="F132" s="13">
        <f t="shared" si="44"/>
        <v>23.722810651876106</v>
      </c>
      <c r="G132" s="14" t="str">
        <f t="shared" si="45"/>
        <v>น้ำหนักเกิน (ท้วม)</v>
      </c>
      <c r="H132" s="15">
        <v>70</v>
      </c>
      <c r="I132" s="16">
        <f t="shared" si="46"/>
        <v>23.388686558187711</v>
      </c>
      <c r="J132" s="17" t="str">
        <f t="shared" si="47"/>
        <v>น้ำหนักเกิน (ท้วม)</v>
      </c>
      <c r="K132" s="10"/>
    </row>
    <row r="133" spans="1:11" ht="19.5" customHeight="1">
      <c r="A133" s="9">
        <v>118</v>
      </c>
      <c r="B133" s="9" t="s">
        <v>258</v>
      </c>
      <c r="C133" s="10" t="s">
        <v>259</v>
      </c>
      <c r="D133" s="11">
        <v>171</v>
      </c>
      <c r="E133" s="12">
        <v>65</v>
      </c>
      <c r="F133" s="13">
        <f t="shared" si="44"/>
        <v>22.229061933586404</v>
      </c>
      <c r="G133" s="14" t="str">
        <f t="shared" si="45"/>
        <v>สมส่วน (ปกติ)</v>
      </c>
      <c r="H133" s="15">
        <v>63</v>
      </c>
      <c r="I133" s="16">
        <f t="shared" si="46"/>
        <v>21.545090797168363</v>
      </c>
      <c r="J133" s="17" t="str">
        <f t="shared" si="47"/>
        <v>สมส่วน (ปกติ)</v>
      </c>
      <c r="K133" s="10"/>
    </row>
    <row r="134" spans="1:11" ht="19.5" customHeight="1">
      <c r="A134" s="9">
        <v>119</v>
      </c>
      <c r="B134" s="9" t="s">
        <v>260</v>
      </c>
      <c r="C134" s="10" t="s">
        <v>261</v>
      </c>
      <c r="D134" s="11">
        <v>172</v>
      </c>
      <c r="E134" s="12">
        <v>55</v>
      </c>
      <c r="F134" s="13">
        <f t="shared" si="44"/>
        <v>18.591130340724717</v>
      </c>
      <c r="G134" s="14" t="str">
        <f t="shared" si="45"/>
        <v>สมส่วน (ปกติ)</v>
      </c>
      <c r="H134" s="15">
        <v>57</v>
      </c>
      <c r="I134" s="16">
        <f t="shared" si="46"/>
        <v>19.267171444023798</v>
      </c>
      <c r="J134" s="17" t="str">
        <f t="shared" si="47"/>
        <v>สมส่วน (ปกติ)</v>
      </c>
      <c r="K134" s="10"/>
    </row>
    <row r="135" spans="1:11" ht="19.5" customHeight="1">
      <c r="A135" s="9">
        <v>120</v>
      </c>
      <c r="B135" s="9" t="s">
        <v>262</v>
      </c>
      <c r="C135" s="10" t="s">
        <v>263</v>
      </c>
      <c r="D135" s="11">
        <v>173</v>
      </c>
      <c r="E135" s="12">
        <v>77</v>
      </c>
      <c r="F135" s="13">
        <f t="shared" si="44"/>
        <v>25.727555214006482</v>
      </c>
      <c r="G135" s="14" t="str">
        <f t="shared" si="45"/>
        <v>อ้วนระดับ 1</v>
      </c>
      <c r="H135" s="15">
        <v>76</v>
      </c>
      <c r="I135" s="16">
        <f t="shared" si="46"/>
        <v>25.393431120318084</v>
      </c>
      <c r="J135" s="17" t="str">
        <f t="shared" si="47"/>
        <v>อ้วนระดับ 1</v>
      </c>
      <c r="K135" s="10"/>
    </row>
    <row r="136" spans="1:11" ht="19.5" customHeight="1">
      <c r="A136" s="9">
        <v>121</v>
      </c>
      <c r="B136" s="9" t="s">
        <v>264</v>
      </c>
      <c r="C136" s="10" t="s">
        <v>265</v>
      </c>
      <c r="D136" s="11">
        <v>172</v>
      </c>
      <c r="E136" s="12">
        <v>57</v>
      </c>
      <c r="F136" s="13">
        <f t="shared" si="44"/>
        <v>19.267171444023798</v>
      </c>
      <c r="G136" s="14" t="str">
        <f t="shared" si="45"/>
        <v>สมส่วน (ปกติ)</v>
      </c>
      <c r="H136" s="15">
        <v>58</v>
      </c>
      <c r="I136" s="16">
        <f t="shared" si="46"/>
        <v>19.605191995673341</v>
      </c>
      <c r="J136" s="17" t="str">
        <f t="shared" si="47"/>
        <v>สมส่วน (ปกติ)</v>
      </c>
      <c r="K136" s="10"/>
    </row>
    <row r="137" spans="1:11" ht="19.5" customHeight="1">
      <c r="A137" s="9">
        <v>122</v>
      </c>
      <c r="B137" s="9" t="s">
        <v>266</v>
      </c>
      <c r="C137" s="10" t="s">
        <v>267</v>
      </c>
      <c r="D137" s="11">
        <v>173</v>
      </c>
      <c r="E137" s="12">
        <v>77</v>
      </c>
      <c r="F137" s="13">
        <f t="shared" si="44"/>
        <v>25.727555214006482</v>
      </c>
      <c r="G137" s="14" t="str">
        <f t="shared" si="45"/>
        <v>อ้วนระดับ 1</v>
      </c>
      <c r="H137" s="15">
        <v>75</v>
      </c>
      <c r="I137" s="16">
        <f t="shared" si="46"/>
        <v>25.059307026629689</v>
      </c>
      <c r="J137" s="17" t="str">
        <f t="shared" si="47"/>
        <v>อ้วนระดับ 1</v>
      </c>
      <c r="K137" s="10"/>
    </row>
    <row r="138" spans="1:11" ht="19.5" customHeight="1">
      <c r="A138" s="9">
        <v>123</v>
      </c>
      <c r="B138" s="9" t="s">
        <v>268</v>
      </c>
      <c r="C138" s="10" t="s">
        <v>269</v>
      </c>
      <c r="D138" s="11">
        <v>173</v>
      </c>
      <c r="E138" s="12">
        <v>61</v>
      </c>
      <c r="F138" s="13">
        <f t="shared" si="44"/>
        <v>20.381569714992146</v>
      </c>
      <c r="G138" s="14" t="str">
        <f t="shared" si="45"/>
        <v>สมส่วน (ปกติ)</v>
      </c>
      <c r="H138" s="15">
        <v>58</v>
      </c>
      <c r="I138" s="16">
        <f t="shared" si="46"/>
        <v>19.379197433926961</v>
      </c>
      <c r="J138" s="17" t="str">
        <f t="shared" si="47"/>
        <v>สมส่วน (ปกติ)</v>
      </c>
      <c r="K138" s="10"/>
    </row>
    <row r="139" spans="1:11" ht="19.5" customHeight="1">
      <c r="A139" s="9">
        <v>124</v>
      </c>
      <c r="B139" s="9" t="s">
        <v>270</v>
      </c>
      <c r="C139" s="10" t="s">
        <v>271</v>
      </c>
      <c r="D139" s="11">
        <v>172</v>
      </c>
      <c r="E139" s="12">
        <v>59</v>
      </c>
      <c r="F139" s="13">
        <f t="shared" si="44"/>
        <v>19.943212547322879</v>
      </c>
      <c r="G139" s="14" t="str">
        <f t="shared" si="45"/>
        <v>สมส่วน (ปกติ)</v>
      </c>
      <c r="H139" s="15">
        <v>58</v>
      </c>
      <c r="I139" s="16">
        <f t="shared" si="46"/>
        <v>19.605191995673341</v>
      </c>
      <c r="J139" s="17" t="str">
        <f t="shared" si="47"/>
        <v>สมส่วน (ปกติ)</v>
      </c>
      <c r="K139" s="10"/>
    </row>
    <row r="140" spans="1:11" ht="19.5" customHeight="1">
      <c r="A140" s="9">
        <v>125</v>
      </c>
      <c r="B140" s="9" t="s">
        <v>272</v>
      </c>
      <c r="C140" s="10" t="s">
        <v>273</v>
      </c>
      <c r="D140" s="11">
        <v>172</v>
      </c>
      <c r="E140" s="12">
        <v>71</v>
      </c>
      <c r="F140" s="13">
        <f t="shared" si="44"/>
        <v>23.999459167117362</v>
      </c>
      <c r="G140" s="14" t="str">
        <f t="shared" si="45"/>
        <v>น้ำหนักเกิน (ท้วม)</v>
      </c>
      <c r="H140" s="15">
        <v>70</v>
      </c>
      <c r="I140" s="16">
        <f t="shared" si="46"/>
        <v>23.661438615467823</v>
      </c>
      <c r="J140" s="17" t="str">
        <f t="shared" si="47"/>
        <v>น้ำหนักเกิน (ท้วม)</v>
      </c>
      <c r="K140" s="10"/>
    </row>
    <row r="141" spans="1:11" ht="19.5" customHeight="1">
      <c r="A141" s="2" t="s">
        <v>274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9.5" customHeight="1">
      <c r="A142" s="9">
        <v>126</v>
      </c>
      <c r="B142" s="9" t="s">
        <v>275</v>
      </c>
      <c r="C142" s="10" t="s">
        <v>276</v>
      </c>
      <c r="D142" s="11">
        <v>172</v>
      </c>
      <c r="E142" s="12">
        <v>71</v>
      </c>
      <c r="F142" s="13">
        <f t="shared" ref="F142:F151" si="48">IF(AND(ISNUMBER(D142), ISNUMBER(E142), D142&gt;0), E142/((D142/100)^2), "")</f>
        <v>23.999459167117362</v>
      </c>
      <c r="G142" s="14" t="str">
        <f t="shared" ref="G142:G151" si="49">IF(F142="","",IF(F142&lt;18.5,"ผอมเกินไป",IF(F142&lt;23,"สมส่วน (ปกติ)",IF(F142&lt;25,"น้ำหนักเกิน (ท้วม)",IF(F142&lt;30,"อ้วนระดับ 1","อ้วนระดับ 2 (อ้วนมาก)")))))</f>
        <v>น้ำหนักเกิน (ท้วม)</v>
      </c>
      <c r="H142" s="15">
        <v>61</v>
      </c>
      <c r="I142" s="16">
        <f t="shared" ref="I142:I151" si="50">IF(AND(ISNUMBER(D142), ISNUMBER(H142), D142&gt;0), H142/((D142/100)^2), "")</f>
        <v>20.61925365062196</v>
      </c>
      <c r="J142" s="17" t="str">
        <f t="shared" ref="J142:J151" si="51">IF(I142="","",IF(I142&lt;18.5,"ผอมเกินไป",IF(I142&lt;23,"สมส่วน (ปกติ)",IF(I142&lt;25,"น้ำหนักเกิน (ท้วม)",IF(I142&lt;30,"อ้วนระดับ 1","อ้วนระดับ 2 (อ้วนมาก)")))))</f>
        <v>สมส่วน (ปกติ)</v>
      </c>
      <c r="K142" s="10"/>
    </row>
    <row r="143" spans="1:11" ht="19.5" customHeight="1">
      <c r="A143" s="9">
        <v>127</v>
      </c>
      <c r="B143" s="9" t="s">
        <v>277</v>
      </c>
      <c r="C143" s="10" t="s">
        <v>278</v>
      </c>
      <c r="D143" s="11">
        <v>172</v>
      </c>
      <c r="E143" s="12">
        <v>78</v>
      </c>
      <c r="F143" s="13">
        <f t="shared" si="48"/>
        <v>26.365603028664147</v>
      </c>
      <c r="G143" s="14" t="str">
        <f t="shared" si="49"/>
        <v>อ้วนระดับ 1</v>
      </c>
      <c r="H143" s="15">
        <v>77</v>
      </c>
      <c r="I143" s="16">
        <f t="shared" si="50"/>
        <v>26.027582477014604</v>
      </c>
      <c r="J143" s="17" t="str">
        <f t="shared" si="51"/>
        <v>อ้วนระดับ 1</v>
      </c>
      <c r="K143" s="10"/>
    </row>
    <row r="144" spans="1:11" ht="19.5" customHeight="1">
      <c r="A144" s="9">
        <v>128</v>
      </c>
      <c r="B144" s="9" t="s">
        <v>279</v>
      </c>
      <c r="C144" s="10" t="s">
        <v>280</v>
      </c>
      <c r="D144" s="11">
        <v>172</v>
      </c>
      <c r="E144" s="12">
        <v>54</v>
      </c>
      <c r="F144" s="13">
        <f t="shared" si="48"/>
        <v>18.253109789075179</v>
      </c>
      <c r="G144" s="14" t="str">
        <f t="shared" si="49"/>
        <v>ผอมเกินไป</v>
      </c>
      <c r="H144" s="15">
        <v>55</v>
      </c>
      <c r="I144" s="16">
        <f t="shared" si="50"/>
        <v>18.591130340724717</v>
      </c>
      <c r="J144" s="17" t="str">
        <f t="shared" si="51"/>
        <v>สมส่วน (ปกติ)</v>
      </c>
      <c r="K144" s="10"/>
    </row>
    <row r="145" spans="1:11" ht="19.5" customHeight="1">
      <c r="A145" s="9">
        <v>129</v>
      </c>
      <c r="B145" s="9" t="s">
        <v>281</v>
      </c>
      <c r="C145" s="10" t="s">
        <v>282</v>
      </c>
      <c r="D145" s="11">
        <v>171</v>
      </c>
      <c r="E145" s="12">
        <v>52</v>
      </c>
      <c r="F145" s="13">
        <f t="shared" si="48"/>
        <v>17.783249546869126</v>
      </c>
      <c r="G145" s="14" t="str">
        <f t="shared" si="49"/>
        <v>ผอมเกินไป</v>
      </c>
      <c r="H145" s="15">
        <v>52</v>
      </c>
      <c r="I145" s="16">
        <f t="shared" si="50"/>
        <v>17.783249546869126</v>
      </c>
      <c r="J145" s="17" t="str">
        <f t="shared" si="51"/>
        <v>ผอมเกินไป</v>
      </c>
      <c r="K145" s="10"/>
    </row>
    <row r="146" spans="1:11" ht="19.5" customHeight="1">
      <c r="A146" s="9">
        <v>130</v>
      </c>
      <c r="B146" s="9" t="s">
        <v>283</v>
      </c>
      <c r="C146" s="10" t="s">
        <v>284</v>
      </c>
      <c r="D146" s="11">
        <v>171</v>
      </c>
      <c r="E146" s="12">
        <v>70</v>
      </c>
      <c r="F146" s="13">
        <f t="shared" si="48"/>
        <v>23.938989774631512</v>
      </c>
      <c r="G146" s="14" t="str">
        <f t="shared" si="49"/>
        <v>น้ำหนักเกิน (ท้วม)</v>
      </c>
      <c r="H146" s="15">
        <v>69</v>
      </c>
      <c r="I146" s="16">
        <f t="shared" si="50"/>
        <v>23.59700420642249</v>
      </c>
      <c r="J146" s="17" t="str">
        <f t="shared" si="51"/>
        <v>น้ำหนักเกิน (ท้วม)</v>
      </c>
      <c r="K146" s="10"/>
    </row>
    <row r="147" spans="1:11" ht="19.5" customHeight="1">
      <c r="A147" s="9">
        <v>131</v>
      </c>
      <c r="B147" s="9" t="s">
        <v>285</v>
      </c>
      <c r="C147" s="10" t="s">
        <v>286</v>
      </c>
      <c r="D147" s="11">
        <v>171</v>
      </c>
      <c r="E147" s="12">
        <v>65</v>
      </c>
      <c r="F147" s="13">
        <f t="shared" si="48"/>
        <v>22.229061933586404</v>
      </c>
      <c r="G147" s="14" t="str">
        <f t="shared" si="49"/>
        <v>สมส่วน (ปกติ)</v>
      </c>
      <c r="H147" s="15">
        <v>65</v>
      </c>
      <c r="I147" s="16">
        <f t="shared" si="50"/>
        <v>22.229061933586404</v>
      </c>
      <c r="J147" s="17" t="str">
        <f t="shared" si="51"/>
        <v>สมส่วน (ปกติ)</v>
      </c>
      <c r="K147" s="10"/>
    </row>
    <row r="148" spans="1:11" ht="19.5" customHeight="1">
      <c r="A148" s="9">
        <v>132</v>
      </c>
      <c r="B148" s="9" t="s">
        <v>287</v>
      </c>
      <c r="C148" s="10" t="s">
        <v>288</v>
      </c>
      <c r="D148" s="11">
        <v>172</v>
      </c>
      <c r="E148" s="12">
        <v>61</v>
      </c>
      <c r="F148" s="13">
        <f t="shared" si="48"/>
        <v>20.61925365062196</v>
      </c>
      <c r="G148" s="14" t="str">
        <f t="shared" si="49"/>
        <v>สมส่วน (ปกติ)</v>
      </c>
      <c r="H148" s="15">
        <v>61</v>
      </c>
      <c r="I148" s="16">
        <f t="shared" si="50"/>
        <v>20.61925365062196</v>
      </c>
      <c r="J148" s="17" t="str">
        <f t="shared" si="51"/>
        <v>สมส่วน (ปกติ)</v>
      </c>
      <c r="K148" s="10"/>
    </row>
    <row r="149" spans="1:11" ht="19.5" customHeight="1">
      <c r="A149" s="9">
        <v>133</v>
      </c>
      <c r="B149" s="9" t="s">
        <v>289</v>
      </c>
      <c r="C149" s="10" t="s">
        <v>290</v>
      </c>
      <c r="D149" s="11">
        <v>171</v>
      </c>
      <c r="E149" s="12">
        <v>61</v>
      </c>
      <c r="F149" s="13">
        <f t="shared" si="48"/>
        <v>20.861119660750319</v>
      </c>
      <c r="G149" s="14" t="str">
        <f t="shared" si="49"/>
        <v>สมส่วน (ปกติ)</v>
      </c>
      <c r="H149" s="15">
        <v>67</v>
      </c>
      <c r="I149" s="16">
        <f t="shared" si="50"/>
        <v>22.913033070004449</v>
      </c>
      <c r="J149" s="17" t="str">
        <f t="shared" si="51"/>
        <v>สมส่วน (ปกติ)</v>
      </c>
      <c r="K149" s="10"/>
    </row>
    <row r="150" spans="1:11" ht="19.5" customHeight="1">
      <c r="A150" s="9">
        <v>134</v>
      </c>
      <c r="B150" s="9" t="s">
        <v>291</v>
      </c>
      <c r="C150" s="10" t="s">
        <v>292</v>
      </c>
      <c r="D150" s="11">
        <v>171</v>
      </c>
      <c r="E150" s="12">
        <v>68</v>
      </c>
      <c r="F150" s="13">
        <f t="shared" si="48"/>
        <v>23.255018638213471</v>
      </c>
      <c r="G150" s="14" t="str">
        <f t="shared" si="49"/>
        <v>น้ำหนักเกิน (ท้วม)</v>
      </c>
      <c r="H150" s="15">
        <v>69</v>
      </c>
      <c r="I150" s="16">
        <f t="shared" si="50"/>
        <v>23.59700420642249</v>
      </c>
      <c r="J150" s="17" t="str">
        <f t="shared" si="51"/>
        <v>น้ำหนักเกิน (ท้วม)</v>
      </c>
      <c r="K150" s="10"/>
    </row>
    <row r="151" spans="1:11" ht="19.5" customHeight="1">
      <c r="A151" s="9">
        <v>135</v>
      </c>
      <c r="B151" s="9" t="s">
        <v>293</v>
      </c>
      <c r="C151" s="10" t="s">
        <v>294</v>
      </c>
      <c r="D151" s="11">
        <v>171</v>
      </c>
      <c r="E151" s="12">
        <v>62</v>
      </c>
      <c r="F151" s="13">
        <f t="shared" si="48"/>
        <v>21.203105228959341</v>
      </c>
      <c r="G151" s="14" t="str">
        <f t="shared" si="49"/>
        <v>สมส่วน (ปกติ)</v>
      </c>
      <c r="H151" s="15">
        <v>62</v>
      </c>
      <c r="I151" s="16">
        <f t="shared" si="50"/>
        <v>21.203105228959341</v>
      </c>
      <c r="J151" s="17" t="str">
        <f t="shared" si="51"/>
        <v>สมส่วน (ปกติ)</v>
      </c>
      <c r="K151" s="10"/>
    </row>
    <row r="152" spans="1:11" ht="19.5" customHeight="1">
      <c r="A152" s="2" t="s">
        <v>295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9.5" customHeight="1">
      <c r="A153" s="9">
        <v>136</v>
      </c>
      <c r="B153" s="9" t="s">
        <v>296</v>
      </c>
      <c r="C153" s="10" t="s">
        <v>297</v>
      </c>
      <c r="D153" s="11">
        <v>171</v>
      </c>
      <c r="E153" s="12">
        <v>75</v>
      </c>
      <c r="F153" s="13">
        <f t="shared" ref="F153:F162" si="52">IF(AND(ISNUMBER(D153), ISNUMBER(E153), D153&gt;0), E153/((D153/100)^2), "")</f>
        <v>25.64891761567662</v>
      </c>
      <c r="G153" s="14" t="str">
        <f t="shared" ref="G153:G162" si="53">IF(F153="","",IF(F153&lt;18.5,"ผอมเกินไป",IF(F153&lt;23,"สมส่วน (ปกติ)",IF(F153&lt;25,"น้ำหนักเกิน (ท้วม)",IF(F153&lt;30,"อ้วนระดับ 1","อ้วนระดับ 2 (อ้วนมาก)")))))</f>
        <v>อ้วนระดับ 1</v>
      </c>
      <c r="H153" s="15">
        <v>74</v>
      </c>
      <c r="I153" s="16">
        <f t="shared" ref="I153:I162" si="54">IF(AND(ISNUMBER(D153), ISNUMBER(H153), D153&gt;0), H153/((D153/100)^2), "")</f>
        <v>25.306932047467601</v>
      </c>
      <c r="J153" s="17" t="str">
        <f t="shared" ref="J153:J162" si="55">IF(I153="","",IF(I153&lt;18.5,"ผอมเกินไป",IF(I153&lt;23,"สมส่วน (ปกติ)",IF(I153&lt;25,"น้ำหนักเกิน (ท้วม)",IF(I153&lt;30,"อ้วนระดับ 1","อ้วนระดับ 2 (อ้วนมาก)")))))</f>
        <v>อ้วนระดับ 1</v>
      </c>
      <c r="K153" s="10"/>
    </row>
    <row r="154" spans="1:11" ht="19.5" customHeight="1">
      <c r="A154" s="9">
        <v>137</v>
      </c>
      <c r="B154" s="9" t="s">
        <v>298</v>
      </c>
      <c r="C154" s="10" t="s">
        <v>299</v>
      </c>
      <c r="D154" s="11">
        <v>172</v>
      </c>
      <c r="E154" s="12">
        <v>77</v>
      </c>
      <c r="F154" s="13">
        <f t="shared" si="52"/>
        <v>26.027582477014604</v>
      </c>
      <c r="G154" s="14" t="str">
        <f t="shared" si="53"/>
        <v>อ้วนระดับ 1</v>
      </c>
      <c r="H154" s="15">
        <v>75</v>
      </c>
      <c r="I154" s="16">
        <f t="shared" si="54"/>
        <v>25.351541373715524</v>
      </c>
      <c r="J154" s="17" t="str">
        <f t="shared" si="55"/>
        <v>อ้วนระดับ 1</v>
      </c>
      <c r="K154" s="10"/>
    </row>
    <row r="155" spans="1:11" ht="19.5" customHeight="1">
      <c r="A155" s="9">
        <v>138</v>
      </c>
      <c r="B155" s="9" t="s">
        <v>300</v>
      </c>
      <c r="C155" s="10" t="s">
        <v>301</v>
      </c>
      <c r="D155" s="11">
        <v>170</v>
      </c>
      <c r="E155" s="12">
        <v>60</v>
      </c>
      <c r="F155" s="13">
        <f t="shared" si="52"/>
        <v>20.761245674740486</v>
      </c>
      <c r="G155" s="14" t="str">
        <f t="shared" si="53"/>
        <v>สมส่วน (ปกติ)</v>
      </c>
      <c r="H155" s="15">
        <v>61</v>
      </c>
      <c r="I155" s="16">
        <f t="shared" si="54"/>
        <v>21.107266435986162</v>
      </c>
      <c r="J155" s="17" t="str">
        <f t="shared" si="55"/>
        <v>สมส่วน (ปกติ)</v>
      </c>
      <c r="K155" s="10"/>
    </row>
    <row r="156" spans="1:11" ht="19.5" customHeight="1">
      <c r="A156" s="9">
        <v>139</v>
      </c>
      <c r="B156" s="9" t="s">
        <v>302</v>
      </c>
      <c r="C156" s="10" t="s">
        <v>303</v>
      </c>
      <c r="D156" s="11">
        <v>171</v>
      </c>
      <c r="E156" s="12">
        <v>57</v>
      </c>
      <c r="F156" s="13">
        <f t="shared" si="52"/>
        <v>19.493177387914233</v>
      </c>
      <c r="G156" s="14" t="str">
        <f t="shared" si="53"/>
        <v>สมส่วน (ปกติ)</v>
      </c>
      <c r="H156" s="15">
        <v>56</v>
      </c>
      <c r="I156" s="16">
        <f t="shared" si="54"/>
        <v>19.151191819705211</v>
      </c>
      <c r="J156" s="17" t="str">
        <f t="shared" si="55"/>
        <v>สมส่วน (ปกติ)</v>
      </c>
      <c r="K156" s="10"/>
    </row>
    <row r="157" spans="1:11" ht="19.5" customHeight="1">
      <c r="A157" s="9">
        <v>140</v>
      </c>
      <c r="B157" s="9" t="s">
        <v>304</v>
      </c>
      <c r="C157" s="10" t="s">
        <v>305</v>
      </c>
      <c r="D157" s="11">
        <v>170</v>
      </c>
      <c r="E157" s="12">
        <v>56</v>
      </c>
      <c r="F157" s="13">
        <f t="shared" si="52"/>
        <v>19.377162629757787</v>
      </c>
      <c r="G157" s="14" t="str">
        <f t="shared" si="53"/>
        <v>สมส่วน (ปกติ)</v>
      </c>
      <c r="H157" s="15">
        <v>56</v>
      </c>
      <c r="I157" s="16">
        <f t="shared" si="54"/>
        <v>19.377162629757787</v>
      </c>
      <c r="J157" s="17" t="str">
        <f t="shared" si="55"/>
        <v>สมส่วน (ปกติ)</v>
      </c>
      <c r="K157" s="10"/>
    </row>
    <row r="158" spans="1:11" ht="19.5" customHeight="1">
      <c r="A158" s="9">
        <v>141</v>
      </c>
      <c r="B158" s="9" t="s">
        <v>306</v>
      </c>
      <c r="C158" s="10" t="s">
        <v>307</v>
      </c>
      <c r="D158" s="11">
        <v>170</v>
      </c>
      <c r="E158" s="12">
        <v>56</v>
      </c>
      <c r="F158" s="13">
        <f t="shared" si="52"/>
        <v>19.377162629757787</v>
      </c>
      <c r="G158" s="14" t="str">
        <f t="shared" si="53"/>
        <v>สมส่วน (ปกติ)</v>
      </c>
      <c r="H158" s="15">
        <v>57</v>
      </c>
      <c r="I158" s="16">
        <f t="shared" si="54"/>
        <v>19.723183391003463</v>
      </c>
      <c r="J158" s="17" t="str">
        <f t="shared" si="55"/>
        <v>สมส่วน (ปกติ)</v>
      </c>
      <c r="K158" s="10"/>
    </row>
    <row r="159" spans="1:11" ht="19.5" customHeight="1">
      <c r="A159" s="9">
        <v>142</v>
      </c>
      <c r="B159" s="9" t="s">
        <v>308</v>
      </c>
      <c r="C159" s="10" t="s">
        <v>309</v>
      </c>
      <c r="D159" s="11">
        <v>171</v>
      </c>
      <c r="E159" s="12">
        <v>64</v>
      </c>
      <c r="F159" s="13">
        <f t="shared" si="52"/>
        <v>21.887076365377382</v>
      </c>
      <c r="G159" s="14" t="str">
        <f t="shared" si="53"/>
        <v>สมส่วน (ปกติ)</v>
      </c>
      <c r="H159" s="15">
        <v>63</v>
      </c>
      <c r="I159" s="16">
        <f t="shared" si="54"/>
        <v>21.545090797168363</v>
      </c>
      <c r="J159" s="17" t="str">
        <f t="shared" si="55"/>
        <v>สมส่วน (ปกติ)</v>
      </c>
      <c r="K159" s="10"/>
    </row>
    <row r="160" spans="1:11" ht="19.5" customHeight="1">
      <c r="A160" s="9">
        <v>143</v>
      </c>
      <c r="B160" s="9" t="s">
        <v>310</v>
      </c>
      <c r="C160" s="10" t="s">
        <v>311</v>
      </c>
      <c r="D160" s="11">
        <v>171</v>
      </c>
      <c r="E160" s="12">
        <v>80</v>
      </c>
      <c r="F160" s="13">
        <f t="shared" si="52"/>
        <v>27.358845456721728</v>
      </c>
      <c r="G160" s="14" t="str">
        <f t="shared" si="53"/>
        <v>อ้วนระดับ 1</v>
      </c>
      <c r="H160" s="15">
        <v>79</v>
      </c>
      <c r="I160" s="16">
        <f t="shared" si="54"/>
        <v>27.016859888512709</v>
      </c>
      <c r="J160" s="17" t="str">
        <f t="shared" si="55"/>
        <v>อ้วนระดับ 1</v>
      </c>
      <c r="K160" s="10"/>
    </row>
    <row r="161" spans="1:11" ht="19.5" customHeight="1">
      <c r="A161" s="9">
        <v>144</v>
      </c>
      <c r="B161" s="9" t="s">
        <v>312</v>
      </c>
      <c r="C161" s="10" t="s">
        <v>313</v>
      </c>
      <c r="D161" s="11">
        <v>170</v>
      </c>
      <c r="E161" s="12">
        <v>67</v>
      </c>
      <c r="F161" s="13">
        <f t="shared" si="52"/>
        <v>23.183391003460208</v>
      </c>
      <c r="G161" s="14" t="str">
        <f t="shared" si="53"/>
        <v>น้ำหนักเกิน (ท้วม)</v>
      </c>
      <c r="H161" s="15">
        <v>66</v>
      </c>
      <c r="I161" s="16">
        <f t="shared" si="54"/>
        <v>22.837370242214536</v>
      </c>
      <c r="J161" s="17" t="str">
        <f t="shared" si="55"/>
        <v>สมส่วน (ปกติ)</v>
      </c>
      <c r="K161" s="10"/>
    </row>
    <row r="162" spans="1:11" ht="19.5" customHeight="1">
      <c r="A162" s="9">
        <v>145</v>
      </c>
      <c r="B162" s="9" t="s">
        <v>314</v>
      </c>
      <c r="C162" s="10" t="s">
        <v>315</v>
      </c>
      <c r="D162" s="11">
        <v>171</v>
      </c>
      <c r="E162" s="12">
        <v>61</v>
      </c>
      <c r="F162" s="13">
        <f t="shared" si="52"/>
        <v>20.861119660750319</v>
      </c>
      <c r="G162" s="14" t="str">
        <f t="shared" si="53"/>
        <v>สมส่วน (ปกติ)</v>
      </c>
      <c r="H162" s="15">
        <v>60</v>
      </c>
      <c r="I162" s="16">
        <f t="shared" si="54"/>
        <v>20.519134092541297</v>
      </c>
      <c r="J162" s="17" t="str">
        <f t="shared" si="55"/>
        <v>สมส่วน (ปกติ)</v>
      </c>
      <c r="K162" s="10"/>
    </row>
    <row r="163" spans="1:11" ht="19.5" customHeight="1">
      <c r="A163" s="2" t="s">
        <v>316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9.5" customHeight="1">
      <c r="A164" s="9">
        <v>146</v>
      </c>
      <c r="B164" s="9" t="s">
        <v>317</v>
      </c>
      <c r="C164" s="10" t="s">
        <v>318</v>
      </c>
      <c r="D164" s="11">
        <v>170</v>
      </c>
      <c r="E164" s="12">
        <v>103</v>
      </c>
      <c r="F164" s="13">
        <f t="shared" ref="F164:F174" si="56">IF(AND(ISNUMBER(D164), ISNUMBER(E164), D164&gt;0), E164/((D164/100)^2), "")</f>
        <v>35.640138408304502</v>
      </c>
      <c r="G164" s="14" t="str">
        <f t="shared" ref="G164:G174" si="57">IF(F164="","",IF(F164&lt;18.5,"ผอมเกินไป",IF(F164&lt;23,"สมส่วน (ปกติ)",IF(F164&lt;25,"น้ำหนักเกิน (ท้วม)",IF(F164&lt;30,"อ้วนระดับ 1","อ้วนระดับ 2 (อ้วนมาก)")))))</f>
        <v>อ้วนระดับ 2 (อ้วนมาก)</v>
      </c>
      <c r="H164" s="15">
        <v>103</v>
      </c>
      <c r="I164" s="16">
        <f t="shared" ref="I164:I174" si="58">IF(AND(ISNUMBER(D164), ISNUMBER(H164), D164&gt;0), H164/((D164/100)^2), "")</f>
        <v>35.640138408304502</v>
      </c>
      <c r="J164" s="17" t="str">
        <f t="shared" ref="J164:J174" si="59">IF(I164="","",IF(I164&lt;18.5,"ผอมเกินไป",IF(I164&lt;23,"สมส่วน (ปกติ)",IF(I164&lt;25,"น้ำหนักเกิน (ท้วม)",IF(I164&lt;30,"อ้วนระดับ 1","อ้วนระดับ 2 (อ้วนมาก)")))))</f>
        <v>อ้วนระดับ 2 (อ้วนมาก)</v>
      </c>
      <c r="K164" s="10"/>
    </row>
    <row r="165" spans="1:11" ht="19.5" customHeight="1">
      <c r="A165" s="9">
        <v>147</v>
      </c>
      <c r="B165" s="9" t="s">
        <v>319</v>
      </c>
      <c r="C165" s="10" t="s">
        <v>320</v>
      </c>
      <c r="D165" s="11">
        <v>170</v>
      </c>
      <c r="E165" s="12">
        <v>75</v>
      </c>
      <c r="F165" s="13">
        <f t="shared" si="56"/>
        <v>25.95155709342561</v>
      </c>
      <c r="G165" s="14" t="str">
        <f t="shared" si="57"/>
        <v>อ้วนระดับ 1</v>
      </c>
      <c r="H165" s="15">
        <v>75</v>
      </c>
      <c r="I165" s="16">
        <f t="shared" si="58"/>
        <v>25.95155709342561</v>
      </c>
      <c r="J165" s="17" t="str">
        <f t="shared" si="59"/>
        <v>อ้วนระดับ 1</v>
      </c>
      <c r="K165" s="10"/>
    </row>
    <row r="166" spans="1:11" ht="19.5" customHeight="1">
      <c r="A166" s="9">
        <v>148</v>
      </c>
      <c r="B166" s="9" t="s">
        <v>321</v>
      </c>
      <c r="C166" s="10" t="s">
        <v>322</v>
      </c>
      <c r="D166" s="11">
        <v>170</v>
      </c>
      <c r="E166" s="12">
        <v>70</v>
      </c>
      <c r="F166" s="13">
        <f t="shared" si="56"/>
        <v>24.221453287197235</v>
      </c>
      <c r="G166" s="14" t="str">
        <f t="shared" si="57"/>
        <v>น้ำหนักเกิน (ท้วม)</v>
      </c>
      <c r="H166" s="15">
        <v>69</v>
      </c>
      <c r="I166" s="16">
        <f t="shared" si="58"/>
        <v>23.87543252595156</v>
      </c>
      <c r="J166" s="17" t="str">
        <f t="shared" si="59"/>
        <v>น้ำหนักเกิน (ท้วม)</v>
      </c>
      <c r="K166" s="10"/>
    </row>
    <row r="167" spans="1:11" ht="19.5" customHeight="1">
      <c r="A167" s="9">
        <v>149</v>
      </c>
      <c r="B167" s="9" t="s">
        <v>323</v>
      </c>
      <c r="C167" s="10" t="s">
        <v>324</v>
      </c>
      <c r="D167" s="11">
        <v>170</v>
      </c>
      <c r="E167" s="12">
        <v>57</v>
      </c>
      <c r="F167" s="13">
        <f t="shared" si="56"/>
        <v>19.723183391003463</v>
      </c>
      <c r="G167" s="14" t="str">
        <f t="shared" si="57"/>
        <v>สมส่วน (ปกติ)</v>
      </c>
      <c r="H167" s="15">
        <v>57</v>
      </c>
      <c r="I167" s="16">
        <f t="shared" si="58"/>
        <v>19.723183391003463</v>
      </c>
      <c r="J167" s="17" t="str">
        <f t="shared" si="59"/>
        <v>สมส่วน (ปกติ)</v>
      </c>
      <c r="K167" s="10"/>
    </row>
    <row r="168" spans="1:11" ht="19.5" customHeight="1">
      <c r="A168" s="9">
        <v>150</v>
      </c>
      <c r="B168" s="9" t="s">
        <v>325</v>
      </c>
      <c r="C168" s="10" t="s">
        <v>326</v>
      </c>
      <c r="D168" s="11">
        <v>170</v>
      </c>
      <c r="E168" s="12">
        <v>78</v>
      </c>
      <c r="F168" s="13">
        <f t="shared" si="56"/>
        <v>26.989619377162633</v>
      </c>
      <c r="G168" s="14" t="str">
        <f t="shared" si="57"/>
        <v>อ้วนระดับ 1</v>
      </c>
      <c r="H168" s="15">
        <v>78</v>
      </c>
      <c r="I168" s="16">
        <f t="shared" si="58"/>
        <v>26.989619377162633</v>
      </c>
      <c r="J168" s="17" t="str">
        <f t="shared" si="59"/>
        <v>อ้วนระดับ 1</v>
      </c>
      <c r="K168" s="10"/>
    </row>
    <row r="169" spans="1:11" ht="19.5" customHeight="1">
      <c r="A169" s="9">
        <v>151</v>
      </c>
      <c r="B169" s="9" t="s">
        <v>327</v>
      </c>
      <c r="C169" s="10" t="s">
        <v>328</v>
      </c>
      <c r="D169" s="11">
        <v>170</v>
      </c>
      <c r="E169" s="12">
        <v>63</v>
      </c>
      <c r="F169" s="13">
        <f t="shared" si="56"/>
        <v>21.79930795847751</v>
      </c>
      <c r="G169" s="14" t="str">
        <f t="shared" si="57"/>
        <v>สมส่วน (ปกติ)</v>
      </c>
      <c r="H169" s="15">
        <v>64</v>
      </c>
      <c r="I169" s="16">
        <f t="shared" si="58"/>
        <v>22.145328719723185</v>
      </c>
      <c r="J169" s="17" t="str">
        <f t="shared" si="59"/>
        <v>สมส่วน (ปกติ)</v>
      </c>
      <c r="K169" s="10"/>
    </row>
    <row r="170" spans="1:11" ht="19.5" customHeight="1">
      <c r="A170" s="9">
        <v>152</v>
      </c>
      <c r="B170" s="9" t="s">
        <v>329</v>
      </c>
      <c r="C170" s="10" t="s">
        <v>330</v>
      </c>
      <c r="D170" s="11">
        <v>170</v>
      </c>
      <c r="E170" s="12">
        <v>64</v>
      </c>
      <c r="F170" s="13">
        <f t="shared" si="56"/>
        <v>22.145328719723185</v>
      </c>
      <c r="G170" s="14" t="str">
        <f t="shared" si="57"/>
        <v>สมส่วน (ปกติ)</v>
      </c>
      <c r="H170" s="15">
        <v>67</v>
      </c>
      <c r="I170" s="16">
        <f t="shared" si="58"/>
        <v>23.183391003460208</v>
      </c>
      <c r="J170" s="17" t="str">
        <f t="shared" si="59"/>
        <v>น้ำหนักเกิน (ท้วม)</v>
      </c>
      <c r="K170" s="10"/>
    </row>
    <row r="171" spans="1:11" ht="19.5" customHeight="1">
      <c r="A171" s="9">
        <v>153</v>
      </c>
      <c r="B171" s="9" t="s">
        <v>331</v>
      </c>
      <c r="C171" s="10" t="s">
        <v>332</v>
      </c>
      <c r="D171" s="11">
        <v>170</v>
      </c>
      <c r="E171" s="12">
        <v>66</v>
      </c>
      <c r="F171" s="13">
        <f t="shared" si="56"/>
        <v>22.837370242214536</v>
      </c>
      <c r="G171" s="14" t="str">
        <f t="shared" si="57"/>
        <v>สมส่วน (ปกติ)</v>
      </c>
      <c r="H171" s="15">
        <v>66</v>
      </c>
      <c r="I171" s="16">
        <f t="shared" si="58"/>
        <v>22.837370242214536</v>
      </c>
      <c r="J171" s="17" t="str">
        <f t="shared" si="59"/>
        <v>สมส่วน (ปกติ)</v>
      </c>
      <c r="K171" s="10"/>
    </row>
    <row r="172" spans="1:11" ht="19.5" customHeight="1">
      <c r="A172" s="9">
        <v>154</v>
      </c>
      <c r="B172" s="9" t="s">
        <v>333</v>
      </c>
      <c r="C172" s="10" t="s">
        <v>334</v>
      </c>
      <c r="D172" s="11">
        <v>170</v>
      </c>
      <c r="E172" s="12">
        <v>64</v>
      </c>
      <c r="F172" s="13">
        <f t="shared" si="56"/>
        <v>22.145328719723185</v>
      </c>
      <c r="G172" s="14" t="str">
        <f t="shared" si="57"/>
        <v>สมส่วน (ปกติ)</v>
      </c>
      <c r="H172" s="15">
        <v>63</v>
      </c>
      <c r="I172" s="16">
        <f t="shared" si="58"/>
        <v>21.79930795847751</v>
      </c>
      <c r="J172" s="17" t="str">
        <f t="shared" si="59"/>
        <v>สมส่วน (ปกติ)</v>
      </c>
      <c r="K172" s="10"/>
    </row>
    <row r="173" spans="1:11" ht="19.5" customHeight="1">
      <c r="A173" s="9">
        <v>155</v>
      </c>
      <c r="B173" s="9" t="s">
        <v>335</v>
      </c>
      <c r="C173" s="10" t="s">
        <v>336</v>
      </c>
      <c r="D173" s="11">
        <v>170</v>
      </c>
      <c r="E173" s="12">
        <v>52</v>
      </c>
      <c r="F173" s="13">
        <f t="shared" si="56"/>
        <v>17.993079584775089</v>
      </c>
      <c r="G173" s="14" t="str">
        <f t="shared" si="57"/>
        <v>ผอมเกินไป</v>
      </c>
      <c r="H173" s="15">
        <v>53</v>
      </c>
      <c r="I173" s="16">
        <f t="shared" si="58"/>
        <v>18.339100346020764</v>
      </c>
      <c r="J173" s="17" t="str">
        <f t="shared" si="59"/>
        <v>ผอมเกินไป</v>
      </c>
      <c r="K173" s="10"/>
    </row>
    <row r="174" spans="1:11" ht="19.5" customHeight="1">
      <c r="A174" s="9">
        <v>156</v>
      </c>
      <c r="B174" s="9" t="s">
        <v>337</v>
      </c>
      <c r="C174" s="10" t="s">
        <v>338</v>
      </c>
      <c r="D174" s="11">
        <v>170</v>
      </c>
      <c r="E174" s="12">
        <v>57</v>
      </c>
      <c r="F174" s="13">
        <f t="shared" si="56"/>
        <v>19.723183391003463</v>
      </c>
      <c r="G174" s="14" t="str">
        <f t="shared" si="57"/>
        <v>สมส่วน (ปกติ)</v>
      </c>
      <c r="H174" s="15">
        <v>56</v>
      </c>
      <c r="I174" s="16">
        <f t="shared" si="58"/>
        <v>19.377162629757787</v>
      </c>
      <c r="J174" s="17" t="str">
        <f t="shared" si="59"/>
        <v>สมส่วน (ปกติ)</v>
      </c>
      <c r="K174" s="10"/>
    </row>
    <row r="175" spans="1:11" ht="19.5" customHeight="1">
      <c r="A175" s="2" t="s">
        <v>339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9.5" customHeight="1">
      <c r="A176" s="9">
        <v>157</v>
      </c>
      <c r="B176" s="9" t="s">
        <v>340</v>
      </c>
      <c r="C176" s="10" t="s">
        <v>341</v>
      </c>
      <c r="D176" s="11">
        <v>168</v>
      </c>
      <c r="E176" s="12">
        <v>69</v>
      </c>
      <c r="F176" s="13">
        <f t="shared" ref="F176:F186" si="60">IF(AND(ISNUMBER(D176), ISNUMBER(E176), D176&gt;0), E176/((D176/100)^2), "")</f>
        <v>24.447278911564631</v>
      </c>
      <c r="G176" s="14" t="str">
        <f t="shared" ref="G176:G186" si="61">IF(F176="","",IF(F176&lt;18.5,"ผอมเกินไป",IF(F176&lt;23,"สมส่วน (ปกติ)",IF(F176&lt;25,"น้ำหนักเกิน (ท้วม)",IF(F176&lt;30,"อ้วนระดับ 1","อ้วนระดับ 2 (อ้วนมาก)")))))</f>
        <v>น้ำหนักเกิน (ท้วม)</v>
      </c>
      <c r="H176" s="15">
        <v>68</v>
      </c>
      <c r="I176" s="16">
        <f t="shared" ref="I176:I186" si="62">IF(AND(ISNUMBER(D176), ISNUMBER(H176), D176&gt;0), H176/((D176/100)^2), "")</f>
        <v>24.092970521541954</v>
      </c>
      <c r="J176" s="17" t="str">
        <f t="shared" ref="J176:J186" si="63">IF(I176="","",IF(I176&lt;18.5,"ผอมเกินไป",IF(I176&lt;23,"สมส่วน (ปกติ)",IF(I176&lt;25,"น้ำหนักเกิน (ท้วม)",IF(I176&lt;30,"อ้วนระดับ 1","อ้วนระดับ 2 (อ้วนมาก)")))))</f>
        <v>น้ำหนักเกิน (ท้วม)</v>
      </c>
      <c r="K176" s="10"/>
    </row>
    <row r="177" spans="1:11" ht="19.5" customHeight="1">
      <c r="A177" s="9">
        <v>158</v>
      </c>
      <c r="B177" s="9" t="s">
        <v>342</v>
      </c>
      <c r="C177" s="10" t="s">
        <v>343</v>
      </c>
      <c r="D177" s="11">
        <v>168</v>
      </c>
      <c r="E177" s="12">
        <v>59</v>
      </c>
      <c r="F177" s="13">
        <f t="shared" si="60"/>
        <v>20.904195011337873</v>
      </c>
      <c r="G177" s="14" t="str">
        <f t="shared" si="61"/>
        <v>สมส่วน (ปกติ)</v>
      </c>
      <c r="H177" s="15">
        <v>59</v>
      </c>
      <c r="I177" s="16">
        <f t="shared" si="62"/>
        <v>20.904195011337873</v>
      </c>
      <c r="J177" s="17" t="str">
        <f t="shared" si="63"/>
        <v>สมส่วน (ปกติ)</v>
      </c>
      <c r="K177" s="10"/>
    </row>
    <row r="178" spans="1:11" ht="19.5" customHeight="1">
      <c r="A178" s="9">
        <v>159</v>
      </c>
      <c r="B178" s="9" t="s">
        <v>344</v>
      </c>
      <c r="C178" s="10" t="s">
        <v>345</v>
      </c>
      <c r="D178" s="11">
        <v>168</v>
      </c>
      <c r="E178" s="12">
        <v>72</v>
      </c>
      <c r="F178" s="13">
        <f t="shared" si="60"/>
        <v>25.510204081632658</v>
      </c>
      <c r="G178" s="14" t="str">
        <f t="shared" si="61"/>
        <v>อ้วนระดับ 1</v>
      </c>
      <c r="H178" s="15">
        <v>71</v>
      </c>
      <c r="I178" s="16">
        <f t="shared" si="62"/>
        <v>25.155895691609981</v>
      </c>
      <c r="J178" s="17" t="str">
        <f t="shared" si="63"/>
        <v>อ้วนระดับ 1</v>
      </c>
      <c r="K178" s="10"/>
    </row>
    <row r="179" spans="1:11" ht="19.5" customHeight="1">
      <c r="A179" s="9">
        <v>160</v>
      </c>
      <c r="B179" s="9" t="s">
        <v>346</v>
      </c>
      <c r="C179" s="10" t="s">
        <v>347</v>
      </c>
      <c r="D179" s="11">
        <v>169</v>
      </c>
      <c r="E179" s="12">
        <v>71</v>
      </c>
      <c r="F179" s="13">
        <f t="shared" si="60"/>
        <v>24.859073561850078</v>
      </c>
      <c r="G179" s="14" t="str">
        <f t="shared" si="61"/>
        <v>น้ำหนักเกิน (ท้วม)</v>
      </c>
      <c r="H179" s="15">
        <v>69</v>
      </c>
      <c r="I179" s="16">
        <f t="shared" si="62"/>
        <v>24.158817968558527</v>
      </c>
      <c r="J179" s="17" t="str">
        <f t="shared" si="63"/>
        <v>น้ำหนักเกิน (ท้วม)</v>
      </c>
      <c r="K179" s="10"/>
    </row>
    <row r="180" spans="1:11" ht="19.5" customHeight="1">
      <c r="A180" s="9">
        <v>161</v>
      </c>
      <c r="B180" s="9" t="s">
        <v>348</v>
      </c>
      <c r="C180" s="10" t="s">
        <v>349</v>
      </c>
      <c r="D180" s="11">
        <v>167</v>
      </c>
      <c r="E180" s="12">
        <v>52</v>
      </c>
      <c r="F180" s="13">
        <f t="shared" si="60"/>
        <v>18.645344042454013</v>
      </c>
      <c r="G180" s="14" t="str">
        <f t="shared" si="61"/>
        <v>สมส่วน (ปกติ)</v>
      </c>
      <c r="H180" s="15">
        <v>51</v>
      </c>
      <c r="I180" s="16">
        <f t="shared" si="62"/>
        <v>18.286779733945284</v>
      </c>
      <c r="J180" s="17" t="str">
        <f t="shared" si="63"/>
        <v>ผอมเกินไป</v>
      </c>
      <c r="K180" s="10"/>
    </row>
    <row r="181" spans="1:11" ht="19.5" customHeight="1">
      <c r="A181" s="9">
        <v>162</v>
      </c>
      <c r="B181" s="9" t="s">
        <v>350</v>
      </c>
      <c r="C181" s="10" t="s">
        <v>351</v>
      </c>
      <c r="D181" s="11">
        <v>165</v>
      </c>
      <c r="E181" s="12">
        <v>71</v>
      </c>
      <c r="F181" s="13">
        <f t="shared" si="60"/>
        <v>26.078971533516992</v>
      </c>
      <c r="G181" s="14" t="str">
        <f t="shared" si="61"/>
        <v>อ้วนระดับ 1</v>
      </c>
      <c r="H181" s="15">
        <v>71</v>
      </c>
      <c r="I181" s="16">
        <f t="shared" si="62"/>
        <v>26.078971533516992</v>
      </c>
      <c r="J181" s="17" t="str">
        <f t="shared" si="63"/>
        <v>อ้วนระดับ 1</v>
      </c>
      <c r="K181" s="10"/>
    </row>
    <row r="182" spans="1:11" ht="19.5" customHeight="1">
      <c r="A182" s="9">
        <v>163</v>
      </c>
      <c r="B182" s="9" t="s">
        <v>352</v>
      </c>
      <c r="C182" s="10" t="s">
        <v>353</v>
      </c>
      <c r="D182" s="11">
        <v>168</v>
      </c>
      <c r="E182" s="12">
        <v>68</v>
      </c>
      <c r="F182" s="13">
        <f t="shared" si="60"/>
        <v>24.092970521541954</v>
      </c>
      <c r="G182" s="14" t="str">
        <f t="shared" si="61"/>
        <v>น้ำหนักเกิน (ท้วม)</v>
      </c>
      <c r="H182" s="15">
        <v>67</v>
      </c>
      <c r="I182" s="16">
        <f t="shared" si="62"/>
        <v>23.738662131519277</v>
      </c>
      <c r="J182" s="17" t="str">
        <f t="shared" si="63"/>
        <v>น้ำหนักเกิน (ท้วม)</v>
      </c>
      <c r="K182" s="10"/>
    </row>
    <row r="183" spans="1:11" ht="19.5" customHeight="1">
      <c r="A183" s="9">
        <v>164</v>
      </c>
      <c r="B183" s="9" t="s">
        <v>354</v>
      </c>
      <c r="C183" s="10" t="s">
        <v>355</v>
      </c>
      <c r="D183" s="11">
        <v>167</v>
      </c>
      <c r="E183" s="12">
        <v>53</v>
      </c>
      <c r="F183" s="13">
        <f t="shared" si="60"/>
        <v>19.003908350962746</v>
      </c>
      <c r="G183" s="14" t="str">
        <f t="shared" si="61"/>
        <v>สมส่วน (ปกติ)</v>
      </c>
      <c r="H183" s="15">
        <v>54</v>
      </c>
      <c r="I183" s="16">
        <f t="shared" si="62"/>
        <v>19.362472659471475</v>
      </c>
      <c r="J183" s="17" t="str">
        <f t="shared" si="63"/>
        <v>สมส่วน (ปกติ)</v>
      </c>
      <c r="K183" s="10"/>
    </row>
    <row r="184" spans="1:11" ht="19.5" customHeight="1">
      <c r="A184" s="9">
        <v>165</v>
      </c>
      <c r="B184" s="9" t="s">
        <v>356</v>
      </c>
      <c r="C184" s="10" t="s">
        <v>357</v>
      </c>
      <c r="D184" s="11">
        <v>165</v>
      </c>
      <c r="E184" s="12">
        <v>58</v>
      </c>
      <c r="F184" s="13">
        <f t="shared" si="60"/>
        <v>21.30394857667585</v>
      </c>
      <c r="G184" s="14" t="str">
        <f t="shared" si="61"/>
        <v>สมส่วน (ปกติ)</v>
      </c>
      <c r="H184" s="15">
        <v>56</v>
      </c>
      <c r="I184" s="16">
        <f t="shared" si="62"/>
        <v>20.569329660238754</v>
      </c>
      <c r="J184" s="17" t="str">
        <f t="shared" si="63"/>
        <v>สมส่วน (ปกติ)</v>
      </c>
      <c r="K184" s="10"/>
    </row>
    <row r="185" spans="1:11" ht="19.5" customHeight="1">
      <c r="A185" s="9">
        <v>166</v>
      </c>
      <c r="B185" s="9" t="s">
        <v>358</v>
      </c>
      <c r="C185" s="10" t="s">
        <v>359</v>
      </c>
      <c r="D185" s="11">
        <v>163</v>
      </c>
      <c r="E185" s="12">
        <v>57</v>
      </c>
      <c r="F185" s="13">
        <f t="shared" si="60"/>
        <v>21.453573713726524</v>
      </c>
      <c r="G185" s="14" t="str">
        <f t="shared" si="61"/>
        <v>สมส่วน (ปกติ)</v>
      </c>
      <c r="H185" s="15">
        <v>57</v>
      </c>
      <c r="I185" s="16">
        <f t="shared" si="62"/>
        <v>21.453573713726524</v>
      </c>
      <c r="J185" s="17" t="str">
        <f t="shared" si="63"/>
        <v>สมส่วน (ปกติ)</v>
      </c>
      <c r="K185" s="10"/>
    </row>
    <row r="186" spans="1:11" ht="19.5" customHeight="1">
      <c r="A186" s="9">
        <v>167</v>
      </c>
      <c r="B186" s="9" t="s">
        <v>360</v>
      </c>
      <c r="C186" s="10" t="s">
        <v>361</v>
      </c>
      <c r="D186" s="11">
        <v>163</v>
      </c>
      <c r="E186" s="12">
        <v>77</v>
      </c>
      <c r="F186" s="13">
        <f t="shared" si="60"/>
        <v>28.981143437841094</v>
      </c>
      <c r="G186" s="14" t="str">
        <f t="shared" si="61"/>
        <v>อ้วนระดับ 1</v>
      </c>
      <c r="H186" s="15">
        <v>76</v>
      </c>
      <c r="I186" s="16">
        <f t="shared" si="62"/>
        <v>28.604764951635367</v>
      </c>
      <c r="J186" s="17" t="str">
        <f t="shared" si="63"/>
        <v>อ้วนระดับ 1</v>
      </c>
      <c r="K186" s="10"/>
    </row>
    <row r="187" spans="1:11" ht="19.5" customHeight="1">
      <c r="A187" s="2" t="s">
        <v>362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9.5" customHeight="1">
      <c r="A188" s="9">
        <v>168</v>
      </c>
      <c r="B188" s="9" t="s">
        <v>363</v>
      </c>
      <c r="C188" s="10" t="s">
        <v>364</v>
      </c>
      <c r="D188" s="11">
        <v>169</v>
      </c>
      <c r="E188" s="12">
        <v>56</v>
      </c>
      <c r="F188" s="13">
        <f t="shared" ref="F188:F197" si="64">IF(AND(ISNUMBER(D188), ISNUMBER(E188), D188&gt;0), E188/((D188/100)^2), "")</f>
        <v>19.607156612163443</v>
      </c>
      <c r="G188" s="14" t="str">
        <f t="shared" ref="G188:G197" si="65">IF(F188="","",IF(F188&lt;18.5,"ผอมเกินไป",IF(F188&lt;23,"สมส่วน (ปกติ)",IF(F188&lt;25,"น้ำหนักเกิน (ท้วม)",IF(F188&lt;30,"อ้วนระดับ 1","อ้วนระดับ 2 (อ้วนมาก)")))))</f>
        <v>สมส่วน (ปกติ)</v>
      </c>
      <c r="H188" s="15">
        <v>56</v>
      </c>
      <c r="I188" s="16">
        <f t="shared" ref="I188:I197" si="66">IF(AND(ISNUMBER(D188), ISNUMBER(H188), D188&gt;0), H188/((D188/100)^2), "")</f>
        <v>19.607156612163443</v>
      </c>
      <c r="J188" s="17" t="str">
        <f t="shared" ref="J188:J197" si="67">IF(I188="","",IF(I188&lt;18.5,"ผอมเกินไป",IF(I188&lt;23,"สมส่วน (ปกติ)",IF(I188&lt;25,"น้ำหนักเกิน (ท้วม)",IF(I188&lt;30,"อ้วนระดับ 1","อ้วนระดับ 2 (อ้วนมาก)")))))</f>
        <v>สมส่วน (ปกติ)</v>
      </c>
      <c r="K188" s="10"/>
    </row>
    <row r="189" spans="1:11" ht="19.5" customHeight="1">
      <c r="A189" s="9">
        <v>169</v>
      </c>
      <c r="B189" s="9" t="s">
        <v>365</v>
      </c>
      <c r="C189" s="10" t="s">
        <v>366</v>
      </c>
      <c r="D189" s="11">
        <v>169</v>
      </c>
      <c r="E189" s="12">
        <v>49</v>
      </c>
      <c r="F189" s="13">
        <f t="shared" si="64"/>
        <v>17.15626203564301</v>
      </c>
      <c r="G189" s="14" t="str">
        <f t="shared" si="65"/>
        <v>ผอมเกินไป</v>
      </c>
      <c r="H189" s="15">
        <v>49</v>
      </c>
      <c r="I189" s="16">
        <f t="shared" si="66"/>
        <v>17.15626203564301</v>
      </c>
      <c r="J189" s="17" t="str">
        <f t="shared" si="67"/>
        <v>ผอมเกินไป</v>
      </c>
      <c r="K189" s="10"/>
    </row>
    <row r="190" spans="1:11" ht="19.5" customHeight="1">
      <c r="A190" s="9">
        <v>170</v>
      </c>
      <c r="B190" s="9" t="s">
        <v>367</v>
      </c>
      <c r="C190" s="10" t="s">
        <v>368</v>
      </c>
      <c r="D190" s="11">
        <v>169</v>
      </c>
      <c r="E190" s="12">
        <v>74</v>
      </c>
      <c r="F190" s="13">
        <f t="shared" si="64"/>
        <v>25.909456951787405</v>
      </c>
      <c r="G190" s="14" t="str">
        <f t="shared" si="65"/>
        <v>อ้วนระดับ 1</v>
      </c>
      <c r="H190" s="15">
        <v>70</v>
      </c>
      <c r="I190" s="16">
        <f t="shared" si="66"/>
        <v>24.508945765204302</v>
      </c>
      <c r="J190" s="17" t="str">
        <f t="shared" si="67"/>
        <v>น้ำหนักเกิน (ท้วม)</v>
      </c>
      <c r="K190" s="10"/>
    </row>
    <row r="191" spans="1:11" ht="19.5" customHeight="1">
      <c r="A191" s="9">
        <v>171</v>
      </c>
      <c r="B191" s="9" t="s">
        <v>369</v>
      </c>
      <c r="C191" s="10" t="s">
        <v>370</v>
      </c>
      <c r="D191" s="11">
        <v>168</v>
      </c>
      <c r="E191" s="12">
        <v>51</v>
      </c>
      <c r="F191" s="13">
        <f t="shared" si="64"/>
        <v>18.069727891156464</v>
      </c>
      <c r="G191" s="14" t="str">
        <f t="shared" si="65"/>
        <v>ผอมเกินไป</v>
      </c>
      <c r="H191" s="15">
        <v>51</v>
      </c>
      <c r="I191" s="16">
        <f t="shared" si="66"/>
        <v>18.069727891156464</v>
      </c>
      <c r="J191" s="17" t="str">
        <f t="shared" si="67"/>
        <v>ผอมเกินไป</v>
      </c>
      <c r="K191" s="10"/>
    </row>
    <row r="192" spans="1:11" ht="19.5" customHeight="1">
      <c r="A192" s="9">
        <v>172</v>
      </c>
      <c r="B192" s="9" t="s">
        <v>371</v>
      </c>
      <c r="C192" s="10" t="s">
        <v>372</v>
      </c>
      <c r="D192" s="11">
        <v>167</v>
      </c>
      <c r="E192" s="12">
        <v>54</v>
      </c>
      <c r="F192" s="13">
        <f t="shared" si="64"/>
        <v>19.362472659471475</v>
      </c>
      <c r="G192" s="14" t="str">
        <f t="shared" si="65"/>
        <v>สมส่วน (ปกติ)</v>
      </c>
      <c r="H192" s="15">
        <v>54</v>
      </c>
      <c r="I192" s="16">
        <f t="shared" si="66"/>
        <v>19.362472659471475</v>
      </c>
      <c r="J192" s="17" t="str">
        <f t="shared" si="67"/>
        <v>สมส่วน (ปกติ)</v>
      </c>
      <c r="K192" s="10"/>
    </row>
    <row r="193" spans="1:11" ht="19.5" customHeight="1">
      <c r="A193" s="9">
        <v>173</v>
      </c>
      <c r="B193" s="9" t="s">
        <v>373</v>
      </c>
      <c r="C193" s="10" t="s">
        <v>374</v>
      </c>
      <c r="D193" s="11">
        <v>163</v>
      </c>
      <c r="E193" s="12">
        <v>48</v>
      </c>
      <c r="F193" s="13">
        <f t="shared" si="64"/>
        <v>18.066167337874969</v>
      </c>
      <c r="G193" s="14" t="str">
        <f t="shared" si="65"/>
        <v>ผอมเกินไป</v>
      </c>
      <c r="H193" s="15">
        <v>49</v>
      </c>
      <c r="I193" s="16">
        <f t="shared" si="66"/>
        <v>18.442545824080696</v>
      </c>
      <c r="J193" s="17" t="str">
        <f t="shared" si="67"/>
        <v>ผอมเกินไป</v>
      </c>
      <c r="K193" s="10"/>
    </row>
    <row r="194" spans="1:11" ht="19.5" customHeight="1">
      <c r="A194" s="9">
        <v>174</v>
      </c>
      <c r="B194" s="9" t="s">
        <v>375</v>
      </c>
      <c r="C194" s="10" t="s">
        <v>376</v>
      </c>
      <c r="D194" s="11">
        <v>168</v>
      </c>
      <c r="E194" s="12">
        <v>61</v>
      </c>
      <c r="F194" s="13">
        <f t="shared" si="64"/>
        <v>21.612811791383223</v>
      </c>
      <c r="G194" s="14" t="str">
        <f t="shared" si="65"/>
        <v>สมส่วน (ปกติ)</v>
      </c>
      <c r="H194" s="15">
        <v>61</v>
      </c>
      <c r="I194" s="16">
        <f t="shared" si="66"/>
        <v>21.612811791383223</v>
      </c>
      <c r="J194" s="17" t="str">
        <f t="shared" si="67"/>
        <v>สมส่วน (ปกติ)</v>
      </c>
      <c r="K194" s="10"/>
    </row>
    <row r="195" spans="1:11" ht="19.5" customHeight="1">
      <c r="A195" s="9">
        <v>175</v>
      </c>
      <c r="B195" s="9" t="s">
        <v>377</v>
      </c>
      <c r="C195" s="10" t="s">
        <v>378</v>
      </c>
      <c r="D195" s="11">
        <v>165</v>
      </c>
      <c r="E195" s="12">
        <v>59</v>
      </c>
      <c r="F195" s="13">
        <f t="shared" si="64"/>
        <v>21.6712580348944</v>
      </c>
      <c r="G195" s="14" t="str">
        <f t="shared" si="65"/>
        <v>สมส่วน (ปกติ)</v>
      </c>
      <c r="H195" s="15">
        <v>58</v>
      </c>
      <c r="I195" s="16">
        <f t="shared" si="66"/>
        <v>21.30394857667585</v>
      </c>
      <c r="J195" s="17" t="str">
        <f t="shared" si="67"/>
        <v>สมส่วน (ปกติ)</v>
      </c>
      <c r="K195" s="10"/>
    </row>
    <row r="196" spans="1:11" ht="19.5" customHeight="1">
      <c r="A196" s="9">
        <v>176</v>
      </c>
      <c r="B196" s="9" t="s">
        <v>379</v>
      </c>
      <c r="C196" s="10" t="s">
        <v>380</v>
      </c>
      <c r="D196" s="11">
        <v>163</v>
      </c>
      <c r="E196" s="12">
        <v>51</v>
      </c>
      <c r="F196" s="13">
        <f t="shared" si="64"/>
        <v>19.195302796492154</v>
      </c>
      <c r="G196" s="14" t="str">
        <f t="shared" si="65"/>
        <v>สมส่วน (ปกติ)</v>
      </c>
      <c r="H196" s="15">
        <v>50</v>
      </c>
      <c r="I196" s="16">
        <f t="shared" si="66"/>
        <v>18.818924310286427</v>
      </c>
      <c r="J196" s="17" t="str">
        <f t="shared" si="67"/>
        <v>สมส่วน (ปกติ)</v>
      </c>
      <c r="K196" s="10"/>
    </row>
    <row r="197" spans="1:11" ht="19.5" customHeight="1">
      <c r="A197" s="9">
        <v>177</v>
      </c>
      <c r="B197" s="9" t="s">
        <v>381</v>
      </c>
      <c r="C197" s="10" t="s">
        <v>382</v>
      </c>
      <c r="D197" s="11">
        <v>161</v>
      </c>
      <c r="E197" s="12">
        <v>66</v>
      </c>
      <c r="F197" s="13">
        <f t="shared" si="64"/>
        <v>25.461980633463213</v>
      </c>
      <c r="G197" s="14" t="str">
        <f t="shared" si="65"/>
        <v>อ้วนระดับ 1</v>
      </c>
      <c r="H197" s="15">
        <v>66</v>
      </c>
      <c r="I197" s="16">
        <f t="shared" si="66"/>
        <v>25.461980633463213</v>
      </c>
      <c r="J197" s="17" t="str">
        <f t="shared" si="67"/>
        <v>อ้วนระดับ 1</v>
      </c>
      <c r="K197" s="10"/>
    </row>
    <row r="198" spans="1:11" ht="19.5" customHeight="1">
      <c r="A198" s="2" t="s">
        <v>383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9.5" customHeight="1">
      <c r="A199" s="9">
        <v>178</v>
      </c>
      <c r="B199" s="9" t="s">
        <v>384</v>
      </c>
      <c r="C199" s="10" t="s">
        <v>385</v>
      </c>
      <c r="D199" s="11">
        <v>169</v>
      </c>
      <c r="E199" s="12">
        <v>52</v>
      </c>
      <c r="F199" s="13">
        <f t="shared" ref="F199:F208" si="68">IF(AND(ISNUMBER(D199), ISNUMBER(E199), D199&gt;0), E199/((D199/100)^2), "")</f>
        <v>18.206645425580341</v>
      </c>
      <c r="G199" s="14" t="str">
        <f t="shared" ref="G199:G208" si="69">IF(F199="","",IF(F199&lt;18.5,"ผอมเกินไป",IF(F199&lt;23,"สมส่วน (ปกติ)",IF(F199&lt;25,"น้ำหนักเกิน (ท้วม)",IF(F199&lt;30,"อ้วนระดับ 1","อ้วนระดับ 2 (อ้วนมาก)")))))</f>
        <v>ผอมเกินไป</v>
      </c>
      <c r="H199" s="15">
        <v>51</v>
      </c>
      <c r="I199" s="16">
        <f t="shared" ref="I199:I208" si="70">IF(AND(ISNUMBER(D199), ISNUMBER(H199), D199&gt;0), H199/((D199/100)^2), "")</f>
        <v>17.856517628934565</v>
      </c>
      <c r="J199" s="17" t="str">
        <f t="shared" ref="J199:J208" si="71">IF(I199="","",IF(I199&lt;18.5,"ผอมเกินไป",IF(I199&lt;23,"สมส่วน (ปกติ)",IF(I199&lt;25,"น้ำหนักเกิน (ท้วม)",IF(I199&lt;30,"อ้วนระดับ 1","อ้วนระดับ 2 (อ้วนมาก)")))))</f>
        <v>ผอมเกินไป</v>
      </c>
      <c r="K199" s="10"/>
    </row>
    <row r="200" spans="1:11" ht="19.5" customHeight="1">
      <c r="A200" s="9">
        <v>179</v>
      </c>
      <c r="B200" s="9" t="s">
        <v>386</v>
      </c>
      <c r="C200" s="10" t="s">
        <v>387</v>
      </c>
      <c r="D200" s="11">
        <v>168</v>
      </c>
      <c r="E200" s="12">
        <v>68</v>
      </c>
      <c r="F200" s="13">
        <f t="shared" si="68"/>
        <v>24.092970521541954</v>
      </c>
      <c r="G200" s="14" t="str">
        <f t="shared" si="69"/>
        <v>น้ำหนักเกิน (ท้วม)</v>
      </c>
      <c r="H200" s="15">
        <v>66</v>
      </c>
      <c r="I200" s="16">
        <f t="shared" si="70"/>
        <v>23.384353741496604</v>
      </c>
      <c r="J200" s="17" t="str">
        <f t="shared" si="71"/>
        <v>น้ำหนักเกิน (ท้วม)</v>
      </c>
      <c r="K200" s="10"/>
    </row>
    <row r="201" spans="1:11" ht="19.5" customHeight="1">
      <c r="A201" s="9">
        <v>180</v>
      </c>
      <c r="B201" s="9" t="s">
        <v>388</v>
      </c>
      <c r="C201" s="10" t="s">
        <v>389</v>
      </c>
      <c r="D201" s="11">
        <v>169</v>
      </c>
      <c r="E201" s="12">
        <v>64</v>
      </c>
      <c r="F201" s="13">
        <f t="shared" si="68"/>
        <v>22.408178985329648</v>
      </c>
      <c r="G201" s="14" t="str">
        <f t="shared" si="69"/>
        <v>สมส่วน (ปกติ)</v>
      </c>
      <c r="H201" s="15">
        <v>65</v>
      </c>
      <c r="I201" s="16">
        <f t="shared" si="70"/>
        <v>22.758306781975424</v>
      </c>
      <c r="J201" s="17" t="str">
        <f t="shared" si="71"/>
        <v>สมส่วน (ปกติ)</v>
      </c>
      <c r="K201" s="10"/>
    </row>
    <row r="202" spans="1:11" ht="19.5" customHeight="1">
      <c r="A202" s="9">
        <v>181</v>
      </c>
      <c r="B202" s="9" t="s">
        <v>390</v>
      </c>
      <c r="C202" s="10" t="s">
        <v>391</v>
      </c>
      <c r="D202" s="11">
        <v>169</v>
      </c>
      <c r="E202" s="12">
        <v>74</v>
      </c>
      <c r="F202" s="13">
        <f t="shared" si="68"/>
        <v>25.909456951787405</v>
      </c>
      <c r="G202" s="14" t="str">
        <f t="shared" si="69"/>
        <v>อ้วนระดับ 1</v>
      </c>
      <c r="H202" s="15">
        <v>73</v>
      </c>
      <c r="I202" s="16">
        <f t="shared" si="70"/>
        <v>25.559329155141629</v>
      </c>
      <c r="J202" s="17" t="str">
        <f t="shared" si="71"/>
        <v>อ้วนระดับ 1</v>
      </c>
      <c r="K202" s="10"/>
    </row>
    <row r="203" spans="1:11" ht="19.5" customHeight="1">
      <c r="A203" s="9">
        <v>182</v>
      </c>
      <c r="B203" s="9" t="s">
        <v>392</v>
      </c>
      <c r="C203" s="10" t="s">
        <v>393</v>
      </c>
      <c r="D203" s="11">
        <v>166</v>
      </c>
      <c r="E203" s="12">
        <v>54</v>
      </c>
      <c r="F203" s="13">
        <f t="shared" si="68"/>
        <v>19.596458121643199</v>
      </c>
      <c r="G203" s="14" t="str">
        <f t="shared" si="69"/>
        <v>สมส่วน (ปกติ)</v>
      </c>
      <c r="H203" s="15">
        <v>55</v>
      </c>
      <c r="I203" s="16">
        <f t="shared" si="70"/>
        <v>19.959355494266223</v>
      </c>
      <c r="J203" s="17" t="str">
        <f t="shared" si="71"/>
        <v>สมส่วน (ปกติ)</v>
      </c>
      <c r="K203" s="10"/>
    </row>
    <row r="204" spans="1:11" ht="19.5" customHeight="1">
      <c r="A204" s="9">
        <v>183</v>
      </c>
      <c r="B204" s="9" t="s">
        <v>394</v>
      </c>
      <c r="C204" s="10" t="s">
        <v>395</v>
      </c>
      <c r="D204" s="11">
        <v>166</v>
      </c>
      <c r="E204" s="12">
        <v>60</v>
      </c>
      <c r="F204" s="13">
        <f t="shared" si="68"/>
        <v>21.773842357381334</v>
      </c>
      <c r="G204" s="14" t="str">
        <f t="shared" si="69"/>
        <v>สมส่วน (ปกติ)</v>
      </c>
      <c r="H204" s="15">
        <v>59</v>
      </c>
      <c r="I204" s="16">
        <f t="shared" si="70"/>
        <v>21.410944984758313</v>
      </c>
      <c r="J204" s="17" t="str">
        <f t="shared" si="71"/>
        <v>สมส่วน (ปกติ)</v>
      </c>
      <c r="K204" s="10"/>
    </row>
    <row r="205" spans="1:11" ht="19.5" customHeight="1">
      <c r="A205" s="9">
        <v>184</v>
      </c>
      <c r="B205" s="9" t="s">
        <v>396</v>
      </c>
      <c r="C205" s="10" t="s">
        <v>397</v>
      </c>
      <c r="D205" s="11">
        <v>169</v>
      </c>
      <c r="E205" s="12">
        <v>71</v>
      </c>
      <c r="F205" s="13">
        <f t="shared" si="68"/>
        <v>24.859073561850078</v>
      </c>
      <c r="G205" s="14" t="str">
        <f t="shared" si="69"/>
        <v>น้ำหนักเกิน (ท้วม)</v>
      </c>
      <c r="H205" s="15">
        <v>70</v>
      </c>
      <c r="I205" s="16">
        <f t="shared" si="70"/>
        <v>24.508945765204302</v>
      </c>
      <c r="J205" s="17" t="str">
        <f t="shared" si="71"/>
        <v>น้ำหนักเกิน (ท้วม)</v>
      </c>
      <c r="K205" s="10"/>
    </row>
    <row r="206" spans="1:11" ht="19.5" customHeight="1">
      <c r="A206" s="9">
        <v>185</v>
      </c>
      <c r="B206" s="9" t="s">
        <v>398</v>
      </c>
      <c r="C206" s="10" t="s">
        <v>399</v>
      </c>
      <c r="D206" s="11">
        <v>165</v>
      </c>
      <c r="E206" s="12">
        <v>55</v>
      </c>
      <c r="F206" s="13">
        <f t="shared" si="68"/>
        <v>20.202020202020204</v>
      </c>
      <c r="G206" s="14" t="str">
        <f t="shared" si="69"/>
        <v>สมส่วน (ปกติ)</v>
      </c>
      <c r="H206" s="15">
        <v>54</v>
      </c>
      <c r="I206" s="16">
        <f t="shared" si="70"/>
        <v>19.834710743801654</v>
      </c>
      <c r="J206" s="17" t="str">
        <f t="shared" si="71"/>
        <v>สมส่วน (ปกติ)</v>
      </c>
      <c r="K206" s="10"/>
    </row>
    <row r="207" spans="1:11" ht="19.5" customHeight="1">
      <c r="A207" s="9">
        <v>186</v>
      </c>
      <c r="B207" s="9" t="s">
        <v>400</v>
      </c>
      <c r="C207" s="10" t="s">
        <v>401</v>
      </c>
      <c r="D207" s="11">
        <v>165</v>
      </c>
      <c r="E207" s="12">
        <v>67</v>
      </c>
      <c r="F207" s="13">
        <f t="shared" si="68"/>
        <v>24.609733700642796</v>
      </c>
      <c r="G207" s="14" t="str">
        <f t="shared" si="69"/>
        <v>น้ำหนักเกิน (ท้วม)</v>
      </c>
      <c r="H207" s="15">
        <v>66</v>
      </c>
      <c r="I207" s="16">
        <f t="shared" si="70"/>
        <v>24.242424242424246</v>
      </c>
      <c r="J207" s="17" t="str">
        <f t="shared" si="71"/>
        <v>น้ำหนักเกิน (ท้วม)</v>
      </c>
      <c r="K207" s="10"/>
    </row>
    <row r="208" spans="1:11" ht="19.5" customHeight="1">
      <c r="A208" s="9">
        <v>187</v>
      </c>
      <c r="B208" s="9" t="s">
        <v>402</v>
      </c>
      <c r="C208" s="10" t="s">
        <v>403</v>
      </c>
      <c r="D208" s="11">
        <v>166</v>
      </c>
      <c r="E208" s="12">
        <v>55</v>
      </c>
      <c r="F208" s="13">
        <f t="shared" si="68"/>
        <v>19.959355494266223</v>
      </c>
      <c r="G208" s="14" t="str">
        <f t="shared" si="69"/>
        <v>สมส่วน (ปกติ)</v>
      </c>
      <c r="H208" s="15">
        <v>54</v>
      </c>
      <c r="I208" s="16">
        <f t="shared" si="70"/>
        <v>19.596458121643199</v>
      </c>
      <c r="J208" s="17" t="str">
        <f t="shared" si="71"/>
        <v>สมส่วน (ปกติ)</v>
      </c>
      <c r="K208" s="10"/>
    </row>
    <row r="209" spans="1:11" ht="19.5" customHeight="1">
      <c r="A209" s="2" t="s">
        <v>404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9.5" customHeight="1">
      <c r="A210" s="9">
        <v>188</v>
      </c>
      <c r="B210" s="9" t="s">
        <v>405</v>
      </c>
      <c r="C210" s="10" t="s">
        <v>406</v>
      </c>
      <c r="D210" s="11">
        <v>169</v>
      </c>
      <c r="E210" s="12">
        <v>52</v>
      </c>
      <c r="F210" s="13">
        <f t="shared" ref="F210:F219" si="72">IF(AND(ISNUMBER(D210), ISNUMBER(E210), D210&gt;0), E210/((D210/100)^2), "")</f>
        <v>18.206645425580341</v>
      </c>
      <c r="G210" s="14" t="str">
        <f t="shared" ref="G210:G219" si="73">IF(F210="","",IF(F210&lt;18.5,"ผอมเกินไป",IF(F210&lt;23,"สมส่วน (ปกติ)",IF(F210&lt;25,"น้ำหนักเกิน (ท้วม)",IF(F210&lt;30,"อ้วนระดับ 1","อ้วนระดับ 2 (อ้วนมาก)")))))</f>
        <v>ผอมเกินไป</v>
      </c>
      <c r="H210" s="15">
        <v>52</v>
      </c>
      <c r="I210" s="16">
        <f t="shared" ref="I210:I219" si="74">IF(AND(ISNUMBER(D210), ISNUMBER(H210), D210&gt;0), H210/((D210/100)^2), "")</f>
        <v>18.206645425580341</v>
      </c>
      <c r="J210" s="17" t="str">
        <f t="shared" ref="J210:J219" si="75">IF(I210="","",IF(I210&lt;18.5,"ผอมเกินไป",IF(I210&lt;23,"สมส่วน (ปกติ)",IF(I210&lt;25,"น้ำหนักเกิน (ท้วม)",IF(I210&lt;30,"อ้วนระดับ 1","อ้วนระดับ 2 (อ้วนมาก)")))))</f>
        <v>ผอมเกินไป</v>
      </c>
      <c r="K210" s="10"/>
    </row>
    <row r="211" spans="1:11" ht="19.5" customHeight="1">
      <c r="A211" s="9">
        <v>189</v>
      </c>
      <c r="B211" s="9" t="s">
        <v>407</v>
      </c>
      <c r="C211" s="10" t="s">
        <v>408</v>
      </c>
      <c r="D211" s="11">
        <v>169</v>
      </c>
      <c r="E211" s="12">
        <v>53</v>
      </c>
      <c r="F211" s="13">
        <f t="shared" si="72"/>
        <v>18.556773222226116</v>
      </c>
      <c r="G211" s="14" t="str">
        <f t="shared" si="73"/>
        <v>สมส่วน (ปกติ)</v>
      </c>
      <c r="H211" s="15">
        <v>54</v>
      </c>
      <c r="I211" s="16">
        <f t="shared" si="74"/>
        <v>18.906901018871892</v>
      </c>
      <c r="J211" s="17" t="str">
        <f t="shared" si="75"/>
        <v>สมส่วน (ปกติ)</v>
      </c>
      <c r="K211" s="10"/>
    </row>
    <row r="212" spans="1:11" ht="19.5" customHeight="1">
      <c r="A212" s="9">
        <v>190</v>
      </c>
      <c r="B212" s="9" t="s">
        <v>409</v>
      </c>
      <c r="C212" s="10" t="s">
        <v>410</v>
      </c>
      <c r="D212" s="11">
        <v>168</v>
      </c>
      <c r="E212" s="12">
        <v>62</v>
      </c>
      <c r="F212" s="13">
        <f t="shared" si="72"/>
        <v>21.9671201814059</v>
      </c>
      <c r="G212" s="14" t="str">
        <f t="shared" si="73"/>
        <v>สมส่วน (ปกติ)</v>
      </c>
      <c r="H212" s="15">
        <v>61</v>
      </c>
      <c r="I212" s="16">
        <f t="shared" si="74"/>
        <v>21.612811791383223</v>
      </c>
      <c r="J212" s="17" t="str">
        <f t="shared" si="75"/>
        <v>สมส่วน (ปกติ)</v>
      </c>
      <c r="K212" s="10"/>
    </row>
    <row r="213" spans="1:11" ht="19.5" customHeight="1">
      <c r="A213" s="9">
        <v>191</v>
      </c>
      <c r="B213" s="9" t="s">
        <v>411</v>
      </c>
      <c r="C213" s="10" t="s">
        <v>412</v>
      </c>
      <c r="D213" s="11">
        <v>167</v>
      </c>
      <c r="E213" s="12">
        <v>60</v>
      </c>
      <c r="F213" s="13">
        <f t="shared" si="72"/>
        <v>21.513858510523864</v>
      </c>
      <c r="G213" s="14" t="str">
        <f t="shared" si="73"/>
        <v>สมส่วน (ปกติ)</v>
      </c>
      <c r="H213" s="15">
        <v>60</v>
      </c>
      <c r="I213" s="16">
        <f t="shared" si="74"/>
        <v>21.513858510523864</v>
      </c>
      <c r="J213" s="17" t="str">
        <f t="shared" si="75"/>
        <v>สมส่วน (ปกติ)</v>
      </c>
      <c r="K213" s="10"/>
    </row>
    <row r="214" spans="1:11" ht="19.5" customHeight="1">
      <c r="A214" s="9">
        <v>192</v>
      </c>
      <c r="B214" s="9" t="s">
        <v>413</v>
      </c>
      <c r="C214" s="10" t="s">
        <v>414</v>
      </c>
      <c r="D214" s="11">
        <v>166</v>
      </c>
      <c r="E214" s="12">
        <v>57</v>
      </c>
      <c r="F214" s="13">
        <f t="shared" si="72"/>
        <v>20.685150239512268</v>
      </c>
      <c r="G214" s="14" t="str">
        <f t="shared" si="73"/>
        <v>สมส่วน (ปกติ)</v>
      </c>
      <c r="H214" s="15">
        <v>57</v>
      </c>
      <c r="I214" s="16">
        <f t="shared" si="74"/>
        <v>20.685150239512268</v>
      </c>
      <c r="J214" s="17" t="str">
        <f t="shared" si="75"/>
        <v>สมส่วน (ปกติ)</v>
      </c>
      <c r="K214" s="10"/>
    </row>
    <row r="215" spans="1:11" ht="19.5" customHeight="1">
      <c r="A215" s="9">
        <v>193</v>
      </c>
      <c r="B215" s="9" t="s">
        <v>415</v>
      </c>
      <c r="C215" s="10" t="s">
        <v>416</v>
      </c>
      <c r="D215" s="11">
        <v>165</v>
      </c>
      <c r="E215" s="12">
        <v>59</v>
      </c>
      <c r="F215" s="13">
        <f t="shared" si="72"/>
        <v>21.6712580348944</v>
      </c>
      <c r="G215" s="14" t="str">
        <f t="shared" si="73"/>
        <v>สมส่วน (ปกติ)</v>
      </c>
      <c r="H215" s="15">
        <v>59</v>
      </c>
      <c r="I215" s="16">
        <f t="shared" si="74"/>
        <v>21.6712580348944</v>
      </c>
      <c r="J215" s="17" t="str">
        <f t="shared" si="75"/>
        <v>สมส่วน (ปกติ)</v>
      </c>
      <c r="K215" s="10"/>
    </row>
    <row r="216" spans="1:11" ht="19.5" customHeight="1">
      <c r="A216" s="9">
        <v>194</v>
      </c>
      <c r="B216" s="9" t="s">
        <v>417</v>
      </c>
      <c r="C216" s="10" t="s">
        <v>418</v>
      </c>
      <c r="D216" s="11">
        <v>163</v>
      </c>
      <c r="E216" s="12">
        <v>62</v>
      </c>
      <c r="F216" s="13">
        <f t="shared" si="72"/>
        <v>23.335466144755166</v>
      </c>
      <c r="G216" s="14" t="str">
        <f t="shared" si="73"/>
        <v>น้ำหนักเกิน (ท้วม)</v>
      </c>
      <c r="H216" s="15">
        <v>62</v>
      </c>
      <c r="I216" s="16">
        <f t="shared" si="74"/>
        <v>23.335466144755166</v>
      </c>
      <c r="J216" s="17" t="str">
        <f t="shared" si="75"/>
        <v>น้ำหนักเกิน (ท้วม)</v>
      </c>
      <c r="K216" s="10"/>
    </row>
    <row r="217" spans="1:11" ht="19.5" customHeight="1">
      <c r="A217" s="9">
        <v>195</v>
      </c>
      <c r="B217" s="9" t="s">
        <v>419</v>
      </c>
      <c r="C217" s="10" t="s">
        <v>420</v>
      </c>
      <c r="D217" s="11">
        <v>165</v>
      </c>
      <c r="E217" s="12">
        <v>61</v>
      </c>
      <c r="F217" s="13">
        <f t="shared" si="72"/>
        <v>22.4058769513315</v>
      </c>
      <c r="G217" s="14" t="str">
        <f t="shared" si="73"/>
        <v>สมส่วน (ปกติ)</v>
      </c>
      <c r="H217" s="15">
        <v>61</v>
      </c>
      <c r="I217" s="16">
        <f t="shared" si="74"/>
        <v>22.4058769513315</v>
      </c>
      <c r="J217" s="17" t="str">
        <f t="shared" si="75"/>
        <v>สมส่วน (ปกติ)</v>
      </c>
      <c r="K217" s="10"/>
    </row>
    <row r="218" spans="1:11" ht="19.5" customHeight="1">
      <c r="A218" s="9">
        <v>196</v>
      </c>
      <c r="B218" s="9" t="s">
        <v>421</v>
      </c>
      <c r="C218" s="10" t="s">
        <v>422</v>
      </c>
      <c r="D218" s="11">
        <v>163</v>
      </c>
      <c r="E218" s="12">
        <v>59</v>
      </c>
      <c r="F218" s="13">
        <f t="shared" si="72"/>
        <v>22.206330686137981</v>
      </c>
      <c r="G218" s="14" t="str">
        <f t="shared" si="73"/>
        <v>สมส่วน (ปกติ)</v>
      </c>
      <c r="H218" s="15">
        <v>59</v>
      </c>
      <c r="I218" s="16">
        <f t="shared" si="74"/>
        <v>22.206330686137981</v>
      </c>
      <c r="J218" s="17" t="str">
        <f t="shared" si="75"/>
        <v>สมส่วน (ปกติ)</v>
      </c>
      <c r="K218" s="10"/>
    </row>
    <row r="219" spans="1:11" ht="19.5" customHeight="1">
      <c r="A219" s="9">
        <v>197</v>
      </c>
      <c r="B219" s="9" t="s">
        <v>423</v>
      </c>
      <c r="C219" s="10" t="s">
        <v>424</v>
      </c>
      <c r="D219" s="11">
        <v>169</v>
      </c>
      <c r="E219" s="12">
        <v>55</v>
      </c>
      <c r="F219" s="13">
        <f t="shared" si="72"/>
        <v>19.257028815517668</v>
      </c>
      <c r="G219" s="14" t="str">
        <f t="shared" si="73"/>
        <v>สมส่วน (ปกติ)</v>
      </c>
      <c r="H219" s="15">
        <v>54</v>
      </c>
      <c r="I219" s="16">
        <f t="shared" si="74"/>
        <v>18.906901018871892</v>
      </c>
      <c r="J219" s="17" t="str">
        <f t="shared" si="75"/>
        <v>สมส่วน (ปกติ)</v>
      </c>
      <c r="K219" s="10"/>
    </row>
    <row r="220" spans="1:11" ht="19.5" customHeight="1">
      <c r="A220" s="2" t="s">
        <v>425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9.5" customHeight="1">
      <c r="A221" s="9">
        <v>198</v>
      </c>
      <c r="B221" s="9" t="s">
        <v>426</v>
      </c>
      <c r="C221" s="10" t="s">
        <v>427</v>
      </c>
      <c r="D221" s="11">
        <v>166</v>
      </c>
      <c r="E221" s="12">
        <v>63</v>
      </c>
      <c r="F221" s="13">
        <f t="shared" ref="F221:F230" si="76">IF(AND(ISNUMBER(D221), ISNUMBER(E221), D221&gt;0), E221/((D221/100)^2), "")</f>
        <v>22.862534475250399</v>
      </c>
      <c r="G221" s="14" t="str">
        <f t="shared" ref="G221:G230" si="77">IF(F221="","",IF(F221&lt;18.5,"ผอมเกินไป",IF(F221&lt;23,"สมส่วน (ปกติ)",IF(F221&lt;25,"น้ำหนักเกิน (ท้วม)",IF(F221&lt;30,"อ้วนระดับ 1","อ้วนระดับ 2 (อ้วนมาก)")))))</f>
        <v>สมส่วน (ปกติ)</v>
      </c>
      <c r="H221" s="15">
        <v>63</v>
      </c>
      <c r="I221" s="16">
        <f t="shared" ref="I221:I230" si="78">IF(AND(ISNUMBER(D221), ISNUMBER(H221), D221&gt;0), H221/((D221/100)^2), "")</f>
        <v>22.862534475250399</v>
      </c>
      <c r="J221" s="17" t="str">
        <f t="shared" ref="J221:J230" si="79">IF(I221="","",IF(I221&lt;18.5,"ผอมเกินไป",IF(I221&lt;23,"สมส่วน (ปกติ)",IF(I221&lt;25,"น้ำหนักเกิน (ท้วม)",IF(I221&lt;30,"อ้วนระดับ 1","อ้วนระดับ 2 (อ้วนมาก)")))))</f>
        <v>สมส่วน (ปกติ)</v>
      </c>
      <c r="K221" s="10"/>
    </row>
    <row r="222" spans="1:11" ht="19.5" customHeight="1">
      <c r="A222" s="9">
        <v>199</v>
      </c>
      <c r="B222" s="9" t="s">
        <v>428</v>
      </c>
      <c r="C222" s="10" t="s">
        <v>429</v>
      </c>
      <c r="D222" s="11">
        <v>168</v>
      </c>
      <c r="E222" s="12">
        <v>64</v>
      </c>
      <c r="F222" s="13">
        <f t="shared" si="76"/>
        <v>22.67573696145125</v>
      </c>
      <c r="G222" s="14" t="str">
        <f t="shared" si="77"/>
        <v>สมส่วน (ปกติ)</v>
      </c>
      <c r="H222" s="15">
        <v>64</v>
      </c>
      <c r="I222" s="16">
        <f t="shared" si="78"/>
        <v>22.67573696145125</v>
      </c>
      <c r="J222" s="17" t="str">
        <f t="shared" si="79"/>
        <v>สมส่วน (ปกติ)</v>
      </c>
      <c r="K222" s="10"/>
    </row>
    <row r="223" spans="1:11" ht="19.5" customHeight="1">
      <c r="A223" s="9">
        <v>200</v>
      </c>
      <c r="B223" s="9" t="s">
        <v>430</v>
      </c>
      <c r="C223" s="10" t="s">
        <v>431</v>
      </c>
      <c r="D223" s="11">
        <v>167</v>
      </c>
      <c r="E223" s="12">
        <v>63</v>
      </c>
      <c r="F223" s="13">
        <f t="shared" si="76"/>
        <v>22.589551436050055</v>
      </c>
      <c r="G223" s="14" t="str">
        <f t="shared" si="77"/>
        <v>สมส่วน (ปกติ)</v>
      </c>
      <c r="H223" s="15">
        <v>62</v>
      </c>
      <c r="I223" s="16">
        <f t="shared" si="78"/>
        <v>22.230987127541326</v>
      </c>
      <c r="J223" s="17" t="str">
        <f t="shared" si="79"/>
        <v>สมส่วน (ปกติ)</v>
      </c>
      <c r="K223" s="10"/>
    </row>
    <row r="224" spans="1:11" ht="19.5" customHeight="1">
      <c r="A224" s="9">
        <v>201</v>
      </c>
      <c r="B224" s="9" t="s">
        <v>432</v>
      </c>
      <c r="C224" s="10" t="s">
        <v>433</v>
      </c>
      <c r="D224" s="11">
        <v>167</v>
      </c>
      <c r="E224" s="12">
        <v>67</v>
      </c>
      <c r="F224" s="13">
        <f t="shared" si="76"/>
        <v>24.023808670084982</v>
      </c>
      <c r="G224" s="14" t="str">
        <f t="shared" si="77"/>
        <v>น้ำหนักเกิน (ท้วม)</v>
      </c>
      <c r="H224" s="15">
        <v>66</v>
      </c>
      <c r="I224" s="16">
        <f t="shared" si="78"/>
        <v>23.665244361576249</v>
      </c>
      <c r="J224" s="17" t="str">
        <f t="shared" si="79"/>
        <v>น้ำหนักเกิน (ท้วม)</v>
      </c>
      <c r="K224" s="10"/>
    </row>
    <row r="225" spans="1:11" ht="19.5" customHeight="1">
      <c r="A225" s="9">
        <v>202</v>
      </c>
      <c r="B225" s="9" t="s">
        <v>434</v>
      </c>
      <c r="C225" s="10" t="s">
        <v>435</v>
      </c>
      <c r="D225" s="11">
        <v>168</v>
      </c>
      <c r="E225" s="12">
        <v>52</v>
      </c>
      <c r="F225" s="13">
        <f t="shared" si="76"/>
        <v>18.424036281179141</v>
      </c>
      <c r="G225" s="14" t="str">
        <f t="shared" si="77"/>
        <v>ผอมเกินไป</v>
      </c>
      <c r="H225" s="15">
        <v>54</v>
      </c>
      <c r="I225" s="16">
        <f t="shared" si="78"/>
        <v>19.132653061224492</v>
      </c>
      <c r="J225" s="17" t="str">
        <f t="shared" si="79"/>
        <v>สมส่วน (ปกติ)</v>
      </c>
      <c r="K225" s="10"/>
    </row>
    <row r="226" spans="1:11" ht="19.5" customHeight="1">
      <c r="A226" s="9">
        <v>203</v>
      </c>
      <c r="B226" s="9" t="s">
        <v>436</v>
      </c>
      <c r="C226" s="10" t="s">
        <v>437</v>
      </c>
      <c r="D226" s="11">
        <v>167</v>
      </c>
      <c r="E226" s="12">
        <v>58</v>
      </c>
      <c r="F226" s="13">
        <f t="shared" si="76"/>
        <v>20.796729893506402</v>
      </c>
      <c r="G226" s="14" t="str">
        <f t="shared" si="77"/>
        <v>สมส่วน (ปกติ)</v>
      </c>
      <c r="H226" s="15">
        <v>57</v>
      </c>
      <c r="I226" s="16">
        <f t="shared" si="78"/>
        <v>20.43816558499767</v>
      </c>
      <c r="J226" s="17" t="str">
        <f t="shared" si="79"/>
        <v>สมส่วน (ปกติ)</v>
      </c>
      <c r="K226" s="10"/>
    </row>
    <row r="227" spans="1:11" ht="19.5" customHeight="1">
      <c r="A227" s="9">
        <v>204</v>
      </c>
      <c r="B227" s="9" t="s">
        <v>438</v>
      </c>
      <c r="C227" s="10" t="s">
        <v>439</v>
      </c>
      <c r="D227" s="11">
        <v>167</v>
      </c>
      <c r="E227" s="12">
        <v>59</v>
      </c>
      <c r="F227" s="13">
        <f t="shared" si="76"/>
        <v>21.155294202015131</v>
      </c>
      <c r="G227" s="14" t="str">
        <f t="shared" si="77"/>
        <v>สมส่วน (ปกติ)</v>
      </c>
      <c r="H227" s="15">
        <v>59</v>
      </c>
      <c r="I227" s="16">
        <f t="shared" si="78"/>
        <v>21.155294202015131</v>
      </c>
      <c r="J227" s="17" t="str">
        <f t="shared" si="79"/>
        <v>สมส่วน (ปกติ)</v>
      </c>
      <c r="K227" s="10"/>
    </row>
    <row r="228" spans="1:11" ht="19.5" customHeight="1">
      <c r="A228" s="9">
        <v>205</v>
      </c>
      <c r="B228" s="9" t="s">
        <v>440</v>
      </c>
      <c r="C228" s="10" t="s">
        <v>441</v>
      </c>
      <c r="D228" s="11">
        <v>163</v>
      </c>
      <c r="E228" s="12">
        <v>50</v>
      </c>
      <c r="F228" s="13">
        <f t="shared" si="76"/>
        <v>18.818924310286427</v>
      </c>
      <c r="G228" s="14" t="str">
        <f t="shared" si="77"/>
        <v>สมส่วน (ปกติ)</v>
      </c>
      <c r="H228" s="15">
        <v>51</v>
      </c>
      <c r="I228" s="16">
        <f t="shared" si="78"/>
        <v>19.195302796492154</v>
      </c>
      <c r="J228" s="17" t="str">
        <f t="shared" si="79"/>
        <v>สมส่วน (ปกติ)</v>
      </c>
      <c r="K228" s="10"/>
    </row>
    <row r="229" spans="1:11" ht="19.5" customHeight="1">
      <c r="A229" s="9">
        <v>206</v>
      </c>
      <c r="B229" s="9" t="s">
        <v>442</v>
      </c>
      <c r="C229" s="10" t="s">
        <v>443</v>
      </c>
      <c r="D229" s="11">
        <v>160</v>
      </c>
      <c r="E229" s="12">
        <v>59</v>
      </c>
      <c r="F229" s="13">
        <f t="shared" si="76"/>
        <v>23.046874999999996</v>
      </c>
      <c r="G229" s="14" t="str">
        <f t="shared" si="77"/>
        <v>น้ำหนักเกิน (ท้วม)</v>
      </c>
      <c r="H229" s="15">
        <v>54</v>
      </c>
      <c r="I229" s="16">
        <f t="shared" si="78"/>
        <v>21.093749999999996</v>
      </c>
      <c r="J229" s="17" t="str">
        <f t="shared" si="79"/>
        <v>สมส่วน (ปกติ)</v>
      </c>
      <c r="K229" s="10"/>
    </row>
    <row r="230" spans="1:11" ht="19.5" customHeight="1">
      <c r="A230" s="9">
        <v>207</v>
      </c>
      <c r="B230" s="9" t="s">
        <v>444</v>
      </c>
      <c r="C230" s="10" t="s">
        <v>445</v>
      </c>
      <c r="D230" s="11">
        <v>160</v>
      </c>
      <c r="E230" s="12">
        <v>64</v>
      </c>
      <c r="F230" s="13">
        <f t="shared" si="76"/>
        <v>24.999999999999996</v>
      </c>
      <c r="G230" s="14" t="str">
        <f t="shared" si="77"/>
        <v>อ้วนระดับ 1</v>
      </c>
      <c r="H230" s="15">
        <v>63</v>
      </c>
      <c r="I230" s="16">
        <f t="shared" si="78"/>
        <v>24.609374999999996</v>
      </c>
      <c r="J230" s="17" t="str">
        <f t="shared" si="79"/>
        <v>น้ำหนักเกิน (ท้วม)</v>
      </c>
      <c r="K230" s="10"/>
    </row>
  </sheetData>
  <mergeCells count="25">
    <mergeCell ref="A175:K175"/>
    <mergeCell ref="A187:K187"/>
    <mergeCell ref="A198:K198"/>
    <mergeCell ref="A209:K209"/>
    <mergeCell ref="A220:K220"/>
    <mergeCell ref="A118:K118"/>
    <mergeCell ref="A130:K130"/>
    <mergeCell ref="A141:K141"/>
    <mergeCell ref="A152:K152"/>
    <mergeCell ref="A163:K163"/>
    <mergeCell ref="A73:K73"/>
    <mergeCell ref="A84:K84"/>
    <mergeCell ref="D94:K94"/>
    <mergeCell ref="A95:K95"/>
    <mergeCell ref="A106:K106"/>
    <mergeCell ref="A16:K16"/>
    <mergeCell ref="A27:K27"/>
    <mergeCell ref="A38:K38"/>
    <mergeCell ref="A49:K49"/>
    <mergeCell ref="A61:K61"/>
    <mergeCell ref="A1:K1"/>
    <mergeCell ref="A2:D2"/>
    <mergeCell ref="E2:G2"/>
    <mergeCell ref="H2:J2"/>
    <mergeCell ref="A4:K4"/>
  </mergeCells>
  <pageMargins left="0.31527777777777799" right="0.31527777777777799" top="0.39374999999999999" bottom="0.39374999999999999" header="0.511811023622047" footer="0.511811023622047"/>
  <pageSetup paperSize="9" scale="5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9A77-E708-4042-A07A-CFB7EA3739D0}">
  <sheetPr>
    <tabColor theme="6"/>
    <pageSetUpPr fitToPage="1"/>
  </sheetPr>
  <dimension ref="A1:K230"/>
  <sheetViews>
    <sheetView topLeftCell="A202" zoomScaleNormal="100" workbookViewId="0">
      <selection activeCell="G227" sqref="G227"/>
    </sheetView>
  </sheetViews>
  <sheetFormatPr defaultColWidth="8.7109375" defaultRowHeight="15"/>
  <cols>
    <col min="1" max="1" width="7" customWidth="1"/>
    <col min="2" max="2" width="11" customWidth="1"/>
    <col min="3" max="3" width="25" customWidth="1"/>
    <col min="4" max="6" width="11" customWidth="1"/>
    <col min="7" max="7" width="22" customWidth="1"/>
    <col min="8" max="9" width="13" customWidth="1"/>
    <col min="10" max="10" width="22" customWidth="1"/>
    <col min="11" max="11" width="18" customWidth="1"/>
  </cols>
  <sheetData>
    <row r="1" spans="1:11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customHeight="1" thickBot="1">
      <c r="A2" s="5"/>
      <c r="B2" s="5"/>
      <c r="C2" s="5"/>
      <c r="D2" s="5"/>
      <c r="E2" s="4" t="s">
        <v>446</v>
      </c>
      <c r="F2" s="4"/>
      <c r="G2" s="4"/>
      <c r="H2" s="3" t="s">
        <v>446</v>
      </c>
      <c r="I2" s="3"/>
      <c r="J2" s="3"/>
      <c r="K2" s="7"/>
    </row>
    <row r="3" spans="1:11" ht="27.75" customHeight="1" thickBo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7</v>
      </c>
      <c r="I3" s="8" t="s">
        <v>8</v>
      </c>
      <c r="J3" s="8" t="s">
        <v>9</v>
      </c>
      <c r="K3" s="8" t="s">
        <v>10</v>
      </c>
    </row>
    <row r="4" spans="1:11" ht="19.5" customHeight="1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9.5" customHeight="1">
      <c r="A5" s="9">
        <v>1</v>
      </c>
      <c r="B5" s="9" t="s">
        <v>12</v>
      </c>
      <c r="C5" s="10" t="s">
        <v>13</v>
      </c>
      <c r="D5" s="11">
        <v>190</v>
      </c>
      <c r="E5" s="12"/>
      <c r="F5" s="13" t="str">
        <f t="shared" ref="F5:F15" si="0">IF(AND(ISNUMBER(D5), ISNUMBER(E5), D5&gt;0), E5/((D5/100)^2), "")</f>
        <v/>
      </c>
      <c r="G5" s="14" t="str">
        <f t="shared" ref="G5:G15" si="1">IF(F5="","",IF(F5&lt;18.5,"ผอมเกินไป",IF(F5&lt;23,"สมส่วน (ปกติ)",IF(F5&lt;25,"น้ำหนักเกิน (ท้วม)",IF(F5&lt;30,"อ้วนระดับ 1","อ้วนระดับ 2 (อ้วนมาก)")))))</f>
        <v/>
      </c>
      <c r="H5" s="15"/>
      <c r="I5" s="16" t="str">
        <f t="shared" ref="I5:I15" si="2">IF(AND(ISNUMBER(D5), ISNUMBER(H5), D5&gt;0), H5/((D5/100)^2), "")</f>
        <v/>
      </c>
      <c r="J5" s="17" t="str">
        <f t="shared" ref="J5:J15" si="3">IF(I5="","",IF(I5&lt;18.5,"ผอมเกินไป",IF(I5&lt;23,"สมส่วน (ปกติ)",IF(I5&lt;25,"น้ำหนักเกิน (ท้วม)",IF(I5&lt;30,"อ้วนระดับ 1","อ้วนระดับ 2 (อ้วนมาก)")))))</f>
        <v/>
      </c>
      <c r="K5" s="10"/>
    </row>
    <row r="6" spans="1:11" ht="19.5" customHeight="1">
      <c r="A6" s="9">
        <v>2</v>
      </c>
      <c r="B6" s="9" t="s">
        <v>14</v>
      </c>
      <c r="C6" s="10" t="s">
        <v>15</v>
      </c>
      <c r="D6" s="11">
        <v>185</v>
      </c>
      <c r="E6" s="12"/>
      <c r="F6" s="13" t="str">
        <f t="shared" si="0"/>
        <v/>
      </c>
      <c r="G6" s="14" t="str">
        <f t="shared" si="1"/>
        <v/>
      </c>
      <c r="H6" s="15"/>
      <c r="I6" s="16" t="str">
        <f t="shared" si="2"/>
        <v/>
      </c>
      <c r="J6" s="17" t="str">
        <f t="shared" si="3"/>
        <v/>
      </c>
      <c r="K6" s="10"/>
    </row>
    <row r="7" spans="1:11" ht="19.5" customHeight="1">
      <c r="A7" s="9">
        <v>3</v>
      </c>
      <c r="B7" s="9" t="s">
        <v>16</v>
      </c>
      <c r="C7" s="10" t="s">
        <v>17</v>
      </c>
      <c r="D7" s="11">
        <v>181</v>
      </c>
      <c r="E7" s="12"/>
      <c r="F7" s="13" t="str">
        <f t="shared" si="0"/>
        <v/>
      </c>
      <c r="G7" s="14" t="str">
        <f t="shared" si="1"/>
        <v/>
      </c>
      <c r="H7" s="15"/>
      <c r="I7" s="16" t="str">
        <f t="shared" si="2"/>
        <v/>
      </c>
      <c r="J7" s="17" t="str">
        <f t="shared" si="3"/>
        <v/>
      </c>
      <c r="K7" s="10"/>
    </row>
    <row r="8" spans="1:11" ht="19.5" customHeight="1">
      <c r="A8" s="9">
        <v>4</v>
      </c>
      <c r="B8" s="9" t="s">
        <v>18</v>
      </c>
      <c r="C8" s="10" t="s">
        <v>19</v>
      </c>
      <c r="D8" s="11">
        <v>180</v>
      </c>
      <c r="E8" s="12"/>
      <c r="F8" s="13" t="str">
        <f t="shared" si="0"/>
        <v/>
      </c>
      <c r="G8" s="14" t="str">
        <f t="shared" si="1"/>
        <v/>
      </c>
      <c r="H8" s="15"/>
      <c r="I8" s="16" t="str">
        <f t="shared" si="2"/>
        <v/>
      </c>
      <c r="J8" s="17" t="str">
        <f t="shared" si="3"/>
        <v/>
      </c>
      <c r="K8" s="10"/>
    </row>
    <row r="9" spans="1:11" ht="19.5" customHeight="1">
      <c r="A9" s="9">
        <v>5</v>
      </c>
      <c r="B9" s="9" t="s">
        <v>20</v>
      </c>
      <c r="C9" s="10" t="s">
        <v>21</v>
      </c>
      <c r="D9" s="11">
        <v>184</v>
      </c>
      <c r="E9" s="12"/>
      <c r="F9" s="13" t="str">
        <f t="shared" si="0"/>
        <v/>
      </c>
      <c r="G9" s="14" t="str">
        <f t="shared" si="1"/>
        <v/>
      </c>
      <c r="H9" s="15"/>
      <c r="I9" s="16" t="str">
        <f t="shared" si="2"/>
        <v/>
      </c>
      <c r="J9" s="17" t="str">
        <f t="shared" si="3"/>
        <v/>
      </c>
      <c r="K9" s="10"/>
    </row>
    <row r="10" spans="1:11" ht="19.5" customHeight="1">
      <c r="A10" s="9">
        <v>6</v>
      </c>
      <c r="B10" s="9" t="s">
        <v>22</v>
      </c>
      <c r="C10" s="10" t="s">
        <v>23</v>
      </c>
      <c r="D10" s="11">
        <v>184</v>
      </c>
      <c r="E10" s="12"/>
      <c r="F10" s="13" t="str">
        <f t="shared" si="0"/>
        <v/>
      </c>
      <c r="G10" s="14" t="str">
        <f t="shared" si="1"/>
        <v/>
      </c>
      <c r="H10" s="15"/>
      <c r="I10" s="16" t="str">
        <f t="shared" si="2"/>
        <v/>
      </c>
      <c r="J10" s="17" t="str">
        <f t="shared" si="3"/>
        <v/>
      </c>
      <c r="K10" s="10"/>
    </row>
    <row r="11" spans="1:11" ht="19.5" customHeight="1">
      <c r="A11" s="9">
        <v>7</v>
      </c>
      <c r="B11" s="9" t="s">
        <v>24</v>
      </c>
      <c r="C11" s="10" t="s">
        <v>25</v>
      </c>
      <c r="D11" s="11">
        <v>180</v>
      </c>
      <c r="E11" s="12"/>
      <c r="F11" s="13" t="str">
        <f t="shared" si="0"/>
        <v/>
      </c>
      <c r="G11" s="14" t="str">
        <f t="shared" si="1"/>
        <v/>
      </c>
      <c r="H11" s="15"/>
      <c r="I11" s="16" t="str">
        <f t="shared" si="2"/>
        <v/>
      </c>
      <c r="J11" s="17" t="str">
        <f t="shared" si="3"/>
        <v/>
      </c>
      <c r="K11" s="10"/>
    </row>
    <row r="12" spans="1:11" ht="19.5" customHeight="1">
      <c r="A12" s="9">
        <v>8</v>
      </c>
      <c r="B12" s="9" t="s">
        <v>26</v>
      </c>
      <c r="C12" s="10" t="s">
        <v>27</v>
      </c>
      <c r="D12" s="11">
        <v>179</v>
      </c>
      <c r="E12" s="12"/>
      <c r="F12" s="13" t="str">
        <f t="shared" si="0"/>
        <v/>
      </c>
      <c r="G12" s="14" t="str">
        <f t="shared" si="1"/>
        <v/>
      </c>
      <c r="H12" s="15"/>
      <c r="I12" s="16" t="str">
        <f t="shared" si="2"/>
        <v/>
      </c>
      <c r="J12" s="17" t="str">
        <f t="shared" si="3"/>
        <v/>
      </c>
      <c r="K12" s="10"/>
    </row>
    <row r="13" spans="1:11" ht="19.5" customHeight="1">
      <c r="A13" s="9">
        <v>9</v>
      </c>
      <c r="B13" s="9" t="s">
        <v>28</v>
      </c>
      <c r="C13" s="10" t="s">
        <v>29</v>
      </c>
      <c r="D13" s="11">
        <v>178</v>
      </c>
      <c r="E13" s="12"/>
      <c r="F13" s="13" t="str">
        <f t="shared" si="0"/>
        <v/>
      </c>
      <c r="G13" s="14" t="str">
        <f t="shared" si="1"/>
        <v/>
      </c>
      <c r="H13" s="15"/>
      <c r="I13" s="16" t="str">
        <f t="shared" si="2"/>
        <v/>
      </c>
      <c r="J13" s="17" t="str">
        <f t="shared" si="3"/>
        <v/>
      </c>
      <c r="K13" s="10"/>
    </row>
    <row r="14" spans="1:11" ht="19.5" customHeight="1">
      <c r="A14" s="9">
        <v>10</v>
      </c>
      <c r="B14" s="9" t="s">
        <v>30</v>
      </c>
      <c r="C14" s="10" t="s">
        <v>31</v>
      </c>
      <c r="D14" s="11">
        <v>177</v>
      </c>
      <c r="E14" s="12"/>
      <c r="F14" s="13" t="str">
        <f t="shared" si="0"/>
        <v/>
      </c>
      <c r="G14" s="14" t="str">
        <f t="shared" si="1"/>
        <v/>
      </c>
      <c r="H14" s="15"/>
      <c r="I14" s="16" t="str">
        <f t="shared" si="2"/>
        <v/>
      </c>
      <c r="J14" s="17" t="str">
        <f t="shared" si="3"/>
        <v/>
      </c>
      <c r="K14" s="10"/>
    </row>
    <row r="15" spans="1:11" ht="19.5" customHeight="1">
      <c r="A15" s="9">
        <v>11</v>
      </c>
      <c r="B15" s="9" t="s">
        <v>32</v>
      </c>
      <c r="C15" s="10" t="s">
        <v>33</v>
      </c>
      <c r="D15" s="11">
        <v>176</v>
      </c>
      <c r="E15" s="12"/>
      <c r="F15" s="13" t="str">
        <f t="shared" si="0"/>
        <v/>
      </c>
      <c r="G15" s="14" t="str">
        <f t="shared" si="1"/>
        <v/>
      </c>
      <c r="H15" s="15"/>
      <c r="I15" s="16" t="str">
        <f t="shared" si="2"/>
        <v/>
      </c>
      <c r="J15" s="17" t="str">
        <f t="shared" si="3"/>
        <v/>
      </c>
      <c r="K15" s="10"/>
    </row>
    <row r="16" spans="1:11" ht="19.5" customHeight="1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9.5" customHeight="1">
      <c r="A17" s="9">
        <v>12</v>
      </c>
      <c r="B17" s="9" t="s">
        <v>35</v>
      </c>
      <c r="C17" s="10" t="s">
        <v>36</v>
      </c>
      <c r="D17" s="11">
        <v>182</v>
      </c>
      <c r="E17" s="12"/>
      <c r="F17" s="13" t="str">
        <f t="shared" ref="F17:F26" si="4">IF(AND(ISNUMBER(D17), ISNUMBER(E17), D17&gt;0), E17/((D17/100)^2), "")</f>
        <v/>
      </c>
      <c r="G17" s="14" t="str">
        <f t="shared" ref="G17:G26" si="5">IF(F17="","",IF(F17&lt;18.5,"ผอมเกินไป",IF(F17&lt;23,"สมส่วน (ปกติ)",IF(F17&lt;25,"น้ำหนักเกิน (ท้วม)",IF(F17&lt;30,"อ้วนระดับ 1","อ้วนระดับ 2 (อ้วนมาก)")))))</f>
        <v/>
      </c>
      <c r="H17" s="15"/>
      <c r="I17" s="16" t="str">
        <f t="shared" ref="I17:I26" si="6">IF(AND(ISNUMBER(D17), ISNUMBER(H17), D17&gt;0), H17/((D17/100)^2), "")</f>
        <v/>
      </c>
      <c r="J17" s="17" t="str">
        <f t="shared" ref="J17:J26" si="7">IF(I17="","",IF(I17&lt;18.5,"ผอมเกินไป",IF(I17&lt;23,"สมส่วน (ปกติ)",IF(I17&lt;25,"น้ำหนักเกิน (ท้วม)",IF(I17&lt;30,"อ้วนระดับ 1","อ้วนระดับ 2 (อ้วนมาก)")))))</f>
        <v/>
      </c>
      <c r="K17" s="10"/>
    </row>
    <row r="18" spans="1:11" ht="19.5" customHeight="1">
      <c r="A18" s="9">
        <v>13</v>
      </c>
      <c r="B18" s="9" t="s">
        <v>37</v>
      </c>
      <c r="C18" s="10" t="s">
        <v>38</v>
      </c>
      <c r="D18" s="11">
        <v>184</v>
      </c>
      <c r="E18" s="12"/>
      <c r="F18" s="13" t="str">
        <f t="shared" si="4"/>
        <v/>
      </c>
      <c r="G18" s="14" t="str">
        <f t="shared" si="5"/>
        <v/>
      </c>
      <c r="H18" s="15"/>
      <c r="I18" s="16" t="str">
        <f t="shared" si="6"/>
        <v/>
      </c>
      <c r="J18" s="17" t="str">
        <f t="shared" si="7"/>
        <v/>
      </c>
      <c r="K18" s="10"/>
    </row>
    <row r="19" spans="1:11" ht="19.5" customHeight="1">
      <c r="A19" s="9">
        <v>14</v>
      </c>
      <c r="B19" s="9" t="s">
        <v>39</v>
      </c>
      <c r="C19" s="10" t="s">
        <v>40</v>
      </c>
      <c r="D19" s="11">
        <v>183</v>
      </c>
      <c r="E19" s="12"/>
      <c r="F19" s="13" t="str">
        <f t="shared" si="4"/>
        <v/>
      </c>
      <c r="G19" s="14" t="str">
        <f t="shared" si="5"/>
        <v/>
      </c>
      <c r="H19" s="15"/>
      <c r="I19" s="16" t="str">
        <f t="shared" si="6"/>
        <v/>
      </c>
      <c r="J19" s="17" t="str">
        <f t="shared" si="7"/>
        <v/>
      </c>
      <c r="K19" s="10"/>
    </row>
    <row r="20" spans="1:11" ht="19.5" customHeight="1">
      <c r="A20" s="9">
        <v>15</v>
      </c>
      <c r="B20" s="9" t="s">
        <v>41</v>
      </c>
      <c r="C20" s="10" t="s">
        <v>42</v>
      </c>
      <c r="D20" s="11">
        <v>181</v>
      </c>
      <c r="E20" s="12"/>
      <c r="F20" s="13" t="str">
        <f t="shared" si="4"/>
        <v/>
      </c>
      <c r="G20" s="14" t="str">
        <f t="shared" si="5"/>
        <v/>
      </c>
      <c r="H20" s="15"/>
      <c r="I20" s="16" t="str">
        <f t="shared" si="6"/>
        <v/>
      </c>
      <c r="J20" s="17" t="str">
        <f t="shared" si="7"/>
        <v/>
      </c>
      <c r="K20" s="10"/>
    </row>
    <row r="21" spans="1:11" ht="19.5" customHeight="1">
      <c r="A21" s="9">
        <v>16</v>
      </c>
      <c r="B21" s="9" t="s">
        <v>43</v>
      </c>
      <c r="C21" s="10" t="s">
        <v>44</v>
      </c>
      <c r="D21" s="11">
        <v>181</v>
      </c>
      <c r="E21" s="12"/>
      <c r="F21" s="13" t="str">
        <f t="shared" si="4"/>
        <v/>
      </c>
      <c r="G21" s="14" t="str">
        <f t="shared" si="5"/>
        <v/>
      </c>
      <c r="H21" s="15"/>
      <c r="I21" s="16" t="str">
        <f t="shared" si="6"/>
        <v/>
      </c>
      <c r="J21" s="17" t="str">
        <f t="shared" si="7"/>
        <v/>
      </c>
      <c r="K21" s="10"/>
    </row>
    <row r="22" spans="1:11" ht="19.5" customHeight="1">
      <c r="A22" s="9">
        <v>17</v>
      </c>
      <c r="B22" s="9" t="s">
        <v>45</v>
      </c>
      <c r="C22" s="10" t="s">
        <v>46</v>
      </c>
      <c r="D22" s="11">
        <v>180</v>
      </c>
      <c r="E22" s="12"/>
      <c r="F22" s="13" t="str">
        <f t="shared" si="4"/>
        <v/>
      </c>
      <c r="G22" s="14" t="str">
        <f t="shared" si="5"/>
        <v/>
      </c>
      <c r="H22" s="15"/>
      <c r="I22" s="16" t="str">
        <f t="shared" si="6"/>
        <v/>
      </c>
      <c r="J22" s="17" t="str">
        <f t="shared" si="7"/>
        <v/>
      </c>
      <c r="K22" s="10"/>
    </row>
    <row r="23" spans="1:11" ht="19.5" customHeight="1">
      <c r="A23" s="9">
        <v>18</v>
      </c>
      <c r="B23" s="9" t="s">
        <v>47</v>
      </c>
      <c r="C23" s="10" t="s">
        <v>48</v>
      </c>
      <c r="D23" s="11">
        <v>180</v>
      </c>
      <c r="E23" s="12"/>
      <c r="F23" s="13" t="str">
        <f t="shared" si="4"/>
        <v/>
      </c>
      <c r="G23" s="14" t="str">
        <f t="shared" si="5"/>
        <v/>
      </c>
      <c r="H23" s="15"/>
      <c r="I23" s="16" t="str">
        <f t="shared" si="6"/>
        <v/>
      </c>
      <c r="J23" s="17" t="str">
        <f t="shared" si="7"/>
        <v/>
      </c>
      <c r="K23" s="10"/>
    </row>
    <row r="24" spans="1:11" ht="19.5" customHeight="1">
      <c r="A24" s="9">
        <v>19</v>
      </c>
      <c r="B24" s="9" t="s">
        <v>49</v>
      </c>
      <c r="C24" s="10" t="s">
        <v>50</v>
      </c>
      <c r="D24" s="11">
        <v>180</v>
      </c>
      <c r="E24" s="12"/>
      <c r="F24" s="13" t="str">
        <f t="shared" si="4"/>
        <v/>
      </c>
      <c r="G24" s="14" t="str">
        <f t="shared" si="5"/>
        <v/>
      </c>
      <c r="H24" s="15"/>
      <c r="I24" s="16" t="str">
        <f t="shared" si="6"/>
        <v/>
      </c>
      <c r="J24" s="17" t="str">
        <f t="shared" si="7"/>
        <v/>
      </c>
      <c r="K24" s="10"/>
    </row>
    <row r="25" spans="1:11" ht="19.5" customHeight="1">
      <c r="A25" s="9">
        <v>20</v>
      </c>
      <c r="B25" s="9" t="s">
        <v>51</v>
      </c>
      <c r="C25" s="10" t="s">
        <v>52</v>
      </c>
      <c r="D25" s="11">
        <v>178</v>
      </c>
      <c r="E25" s="12"/>
      <c r="F25" s="13" t="str">
        <f t="shared" si="4"/>
        <v/>
      </c>
      <c r="G25" s="14" t="str">
        <f t="shared" si="5"/>
        <v/>
      </c>
      <c r="H25" s="15"/>
      <c r="I25" s="16" t="str">
        <f t="shared" si="6"/>
        <v/>
      </c>
      <c r="J25" s="17" t="str">
        <f t="shared" si="7"/>
        <v/>
      </c>
      <c r="K25" s="10"/>
    </row>
    <row r="26" spans="1:11" ht="19.5" customHeight="1">
      <c r="A26" s="9">
        <v>21</v>
      </c>
      <c r="B26" s="9" t="s">
        <v>53</v>
      </c>
      <c r="C26" s="10" t="s">
        <v>54</v>
      </c>
      <c r="D26" s="11">
        <v>177</v>
      </c>
      <c r="E26" s="12"/>
      <c r="F26" s="13" t="str">
        <f t="shared" si="4"/>
        <v/>
      </c>
      <c r="G26" s="14" t="str">
        <f t="shared" si="5"/>
        <v/>
      </c>
      <c r="H26" s="15"/>
      <c r="I26" s="16" t="str">
        <f t="shared" si="6"/>
        <v/>
      </c>
      <c r="J26" s="17" t="str">
        <f t="shared" si="7"/>
        <v/>
      </c>
      <c r="K26" s="10"/>
    </row>
    <row r="27" spans="1:11" ht="19.5" customHeight="1">
      <c r="A27" s="2" t="s">
        <v>55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9.5" customHeight="1">
      <c r="A28" s="9">
        <v>22</v>
      </c>
      <c r="B28" s="9" t="s">
        <v>56</v>
      </c>
      <c r="C28" s="10" t="s">
        <v>57</v>
      </c>
      <c r="D28" s="11">
        <v>184</v>
      </c>
      <c r="E28" s="12"/>
      <c r="F28" s="13" t="str">
        <f t="shared" ref="F28:F37" si="8">IF(AND(ISNUMBER(D28), ISNUMBER(E28), D28&gt;0), E28/((D28/100)^2), "")</f>
        <v/>
      </c>
      <c r="G28" s="14" t="str">
        <f t="shared" ref="G28:G37" si="9">IF(F28="","",IF(F28&lt;18.5,"ผอมเกินไป",IF(F28&lt;23,"สมส่วน (ปกติ)",IF(F28&lt;25,"น้ำหนักเกิน (ท้วม)",IF(F28&lt;30,"อ้วนระดับ 1","อ้วนระดับ 2 (อ้วนมาก)")))))</f>
        <v/>
      </c>
      <c r="H28" s="15"/>
      <c r="I28" s="16" t="str">
        <f t="shared" ref="I28:I37" si="10">IF(AND(ISNUMBER(D28), ISNUMBER(H28), D28&gt;0), H28/((D28/100)^2), "")</f>
        <v/>
      </c>
      <c r="J28" s="17" t="str">
        <f t="shared" ref="J28:J37" si="11">IF(I28="","",IF(I28&lt;18.5,"ผอมเกินไป",IF(I28&lt;23,"สมส่วน (ปกติ)",IF(I28&lt;25,"น้ำหนักเกิน (ท้วม)",IF(I28&lt;30,"อ้วนระดับ 1","อ้วนระดับ 2 (อ้วนมาก)")))))</f>
        <v/>
      </c>
      <c r="K28" s="10"/>
    </row>
    <row r="29" spans="1:11" ht="19.5" customHeight="1">
      <c r="A29" s="9">
        <v>23</v>
      </c>
      <c r="B29" s="9" t="s">
        <v>58</v>
      </c>
      <c r="C29" s="10" t="s">
        <v>59</v>
      </c>
      <c r="D29" s="11">
        <v>183</v>
      </c>
      <c r="E29" s="12"/>
      <c r="F29" s="13" t="str">
        <f t="shared" si="8"/>
        <v/>
      </c>
      <c r="G29" s="14" t="str">
        <f t="shared" si="9"/>
        <v/>
      </c>
      <c r="H29" s="15"/>
      <c r="I29" s="16" t="str">
        <f t="shared" si="10"/>
        <v/>
      </c>
      <c r="J29" s="17" t="str">
        <f t="shared" si="11"/>
        <v/>
      </c>
      <c r="K29" s="10"/>
    </row>
    <row r="30" spans="1:11" ht="19.5" customHeight="1">
      <c r="A30" s="9">
        <v>24</v>
      </c>
      <c r="B30" s="9" t="s">
        <v>60</v>
      </c>
      <c r="C30" s="10" t="s">
        <v>61</v>
      </c>
      <c r="D30" s="11">
        <v>182</v>
      </c>
      <c r="E30" s="12"/>
      <c r="F30" s="13" t="str">
        <f t="shared" si="8"/>
        <v/>
      </c>
      <c r="G30" s="14" t="str">
        <f t="shared" si="9"/>
        <v/>
      </c>
      <c r="H30" s="15"/>
      <c r="I30" s="16" t="str">
        <f t="shared" si="10"/>
        <v/>
      </c>
      <c r="J30" s="17" t="str">
        <f t="shared" si="11"/>
        <v/>
      </c>
      <c r="K30" s="10"/>
    </row>
    <row r="31" spans="1:11" ht="19.5" customHeight="1">
      <c r="A31" s="9">
        <v>25</v>
      </c>
      <c r="B31" s="9" t="s">
        <v>62</v>
      </c>
      <c r="C31" s="10" t="s">
        <v>63</v>
      </c>
      <c r="D31" s="11">
        <v>180</v>
      </c>
      <c r="E31" s="12"/>
      <c r="F31" s="13" t="str">
        <f t="shared" si="8"/>
        <v/>
      </c>
      <c r="G31" s="14" t="str">
        <f t="shared" si="9"/>
        <v/>
      </c>
      <c r="H31" s="15"/>
      <c r="I31" s="16" t="str">
        <f t="shared" si="10"/>
        <v/>
      </c>
      <c r="J31" s="17" t="str">
        <f t="shared" si="11"/>
        <v/>
      </c>
      <c r="K31" s="10"/>
    </row>
    <row r="32" spans="1:11" ht="19.5" customHeight="1">
      <c r="A32" s="9">
        <v>26</v>
      </c>
      <c r="B32" s="9" t="s">
        <v>64</v>
      </c>
      <c r="C32" s="10" t="s">
        <v>65</v>
      </c>
      <c r="D32" s="11">
        <v>182</v>
      </c>
      <c r="E32" s="12"/>
      <c r="F32" s="13" t="str">
        <f t="shared" si="8"/>
        <v/>
      </c>
      <c r="G32" s="14" t="str">
        <f t="shared" si="9"/>
        <v/>
      </c>
      <c r="H32" s="15"/>
      <c r="I32" s="16" t="str">
        <f t="shared" si="10"/>
        <v/>
      </c>
      <c r="J32" s="17" t="str">
        <f t="shared" si="11"/>
        <v/>
      </c>
      <c r="K32" s="10"/>
    </row>
    <row r="33" spans="1:11" ht="19.5" customHeight="1">
      <c r="A33" s="9">
        <v>27</v>
      </c>
      <c r="B33" s="9" t="s">
        <v>66</v>
      </c>
      <c r="C33" s="10" t="s">
        <v>67</v>
      </c>
      <c r="D33" s="11">
        <v>183</v>
      </c>
      <c r="E33" s="12"/>
      <c r="F33" s="13" t="str">
        <f t="shared" si="8"/>
        <v/>
      </c>
      <c r="G33" s="14" t="str">
        <f t="shared" si="9"/>
        <v/>
      </c>
      <c r="H33" s="15"/>
      <c r="I33" s="16" t="str">
        <f t="shared" si="10"/>
        <v/>
      </c>
      <c r="J33" s="17" t="str">
        <f t="shared" si="11"/>
        <v/>
      </c>
      <c r="K33" s="10"/>
    </row>
    <row r="34" spans="1:11" ht="19.5" customHeight="1">
      <c r="A34" s="9">
        <v>28</v>
      </c>
      <c r="B34" s="9" t="s">
        <v>68</v>
      </c>
      <c r="C34" s="10" t="s">
        <v>69</v>
      </c>
      <c r="D34" s="11">
        <v>179</v>
      </c>
      <c r="E34" s="12"/>
      <c r="F34" s="13" t="str">
        <f t="shared" si="8"/>
        <v/>
      </c>
      <c r="G34" s="14" t="str">
        <f t="shared" si="9"/>
        <v/>
      </c>
      <c r="H34" s="15"/>
      <c r="I34" s="16" t="str">
        <f t="shared" si="10"/>
        <v/>
      </c>
      <c r="J34" s="17" t="str">
        <f t="shared" si="11"/>
        <v/>
      </c>
      <c r="K34" s="10"/>
    </row>
    <row r="35" spans="1:11" ht="19.5" customHeight="1">
      <c r="A35" s="9">
        <v>29</v>
      </c>
      <c r="B35" s="9" t="s">
        <v>70</v>
      </c>
      <c r="C35" s="10" t="s">
        <v>71</v>
      </c>
      <c r="D35" s="11">
        <v>180</v>
      </c>
      <c r="E35" s="12"/>
      <c r="F35" s="13" t="str">
        <f t="shared" si="8"/>
        <v/>
      </c>
      <c r="G35" s="14" t="str">
        <f t="shared" si="9"/>
        <v/>
      </c>
      <c r="H35" s="15"/>
      <c r="I35" s="16" t="str">
        <f t="shared" si="10"/>
        <v/>
      </c>
      <c r="J35" s="17" t="str">
        <f t="shared" si="11"/>
        <v/>
      </c>
      <c r="K35" s="10"/>
    </row>
    <row r="36" spans="1:11" ht="19.5" customHeight="1">
      <c r="A36" s="9">
        <v>30</v>
      </c>
      <c r="B36" s="9" t="s">
        <v>72</v>
      </c>
      <c r="C36" s="10" t="s">
        <v>73</v>
      </c>
      <c r="D36" s="11">
        <v>178</v>
      </c>
      <c r="E36" s="12"/>
      <c r="F36" s="13" t="str">
        <f t="shared" si="8"/>
        <v/>
      </c>
      <c r="G36" s="14" t="str">
        <f t="shared" si="9"/>
        <v/>
      </c>
      <c r="H36" s="15"/>
      <c r="I36" s="16" t="str">
        <f t="shared" si="10"/>
        <v/>
      </c>
      <c r="J36" s="17" t="str">
        <f t="shared" si="11"/>
        <v/>
      </c>
      <c r="K36" s="10"/>
    </row>
    <row r="37" spans="1:11" ht="19.5" customHeight="1">
      <c r="A37" s="9">
        <v>31</v>
      </c>
      <c r="B37" s="9" t="s">
        <v>74</v>
      </c>
      <c r="C37" s="10" t="s">
        <v>75</v>
      </c>
      <c r="D37" s="11">
        <v>177</v>
      </c>
      <c r="E37" s="12"/>
      <c r="F37" s="13" t="str">
        <f t="shared" si="8"/>
        <v/>
      </c>
      <c r="G37" s="14" t="str">
        <f t="shared" si="9"/>
        <v/>
      </c>
      <c r="H37" s="15"/>
      <c r="I37" s="16" t="str">
        <f t="shared" si="10"/>
        <v/>
      </c>
      <c r="J37" s="17" t="str">
        <f t="shared" si="11"/>
        <v/>
      </c>
      <c r="K37" s="10"/>
    </row>
    <row r="38" spans="1:11" ht="19.5" customHeight="1">
      <c r="A38" s="2" t="s">
        <v>76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9.5" customHeight="1">
      <c r="A39" s="9">
        <v>32</v>
      </c>
      <c r="B39" s="9" t="s">
        <v>77</v>
      </c>
      <c r="C39" s="10" t="s">
        <v>78</v>
      </c>
      <c r="D39" s="11">
        <v>183</v>
      </c>
      <c r="E39" s="12"/>
      <c r="F39" s="13" t="str">
        <f t="shared" ref="F39:F48" si="12">IF(AND(ISNUMBER(D39), ISNUMBER(E39), D39&gt;0), E39/((D39/100)^2), "")</f>
        <v/>
      </c>
      <c r="G39" s="14" t="str">
        <f t="shared" ref="G39:G48" si="13">IF(F39="","",IF(F39&lt;18.5,"ผอมเกินไป",IF(F39&lt;23,"สมส่วน (ปกติ)",IF(F39&lt;25,"น้ำหนักเกิน (ท้วม)",IF(F39&lt;30,"อ้วนระดับ 1","อ้วนระดับ 2 (อ้วนมาก)")))))</f>
        <v/>
      </c>
      <c r="H39" s="15"/>
      <c r="I39" s="16" t="str">
        <f t="shared" ref="I39:I48" si="14">IF(AND(ISNUMBER(D39), ISNUMBER(H39), D39&gt;0), H39/((D39/100)^2), "")</f>
        <v/>
      </c>
      <c r="J39" s="17" t="str">
        <f t="shared" ref="J39:J48" si="15">IF(I39="","",IF(I39&lt;18.5,"ผอมเกินไป",IF(I39&lt;23,"สมส่วน (ปกติ)",IF(I39&lt;25,"น้ำหนักเกิน (ท้วม)",IF(I39&lt;30,"อ้วนระดับ 1","อ้วนระดับ 2 (อ้วนมาก)")))))</f>
        <v/>
      </c>
      <c r="K39" s="10"/>
    </row>
    <row r="40" spans="1:11" ht="19.5" customHeight="1">
      <c r="A40" s="9">
        <v>33</v>
      </c>
      <c r="B40" s="9" t="s">
        <v>79</v>
      </c>
      <c r="C40" s="10" t="s">
        <v>80</v>
      </c>
      <c r="D40" s="11">
        <v>182</v>
      </c>
      <c r="E40" s="12"/>
      <c r="F40" s="13" t="str">
        <f t="shared" si="12"/>
        <v/>
      </c>
      <c r="G40" s="14" t="str">
        <f t="shared" si="13"/>
        <v/>
      </c>
      <c r="H40" s="15"/>
      <c r="I40" s="16" t="str">
        <f t="shared" si="14"/>
        <v/>
      </c>
      <c r="J40" s="17" t="str">
        <f t="shared" si="15"/>
        <v/>
      </c>
      <c r="K40" s="10"/>
    </row>
    <row r="41" spans="1:11" ht="19.5" customHeight="1">
      <c r="A41" s="9">
        <v>34</v>
      </c>
      <c r="B41" s="9" t="s">
        <v>81</v>
      </c>
      <c r="C41" s="10" t="s">
        <v>82</v>
      </c>
      <c r="D41" s="11">
        <v>183</v>
      </c>
      <c r="E41" s="12"/>
      <c r="F41" s="13" t="str">
        <f t="shared" si="12"/>
        <v/>
      </c>
      <c r="G41" s="14" t="str">
        <f t="shared" si="13"/>
        <v/>
      </c>
      <c r="H41" s="15"/>
      <c r="I41" s="16" t="str">
        <f t="shared" si="14"/>
        <v/>
      </c>
      <c r="J41" s="17" t="str">
        <f t="shared" si="15"/>
        <v/>
      </c>
      <c r="K41" s="10"/>
    </row>
    <row r="42" spans="1:11" ht="19.5" customHeight="1">
      <c r="A42" s="9">
        <v>35</v>
      </c>
      <c r="B42" s="9" t="s">
        <v>83</v>
      </c>
      <c r="C42" s="10" t="s">
        <v>84</v>
      </c>
      <c r="D42" s="11">
        <v>182</v>
      </c>
      <c r="E42" s="12"/>
      <c r="F42" s="13" t="str">
        <f t="shared" si="12"/>
        <v/>
      </c>
      <c r="G42" s="14" t="str">
        <f t="shared" si="13"/>
        <v/>
      </c>
      <c r="H42" s="15"/>
      <c r="I42" s="16" t="str">
        <f t="shared" si="14"/>
        <v/>
      </c>
      <c r="J42" s="17" t="str">
        <f t="shared" si="15"/>
        <v/>
      </c>
      <c r="K42" s="10"/>
    </row>
    <row r="43" spans="1:11" ht="19.5" customHeight="1">
      <c r="A43" s="9">
        <v>36</v>
      </c>
      <c r="B43" s="9" t="s">
        <v>85</v>
      </c>
      <c r="C43" s="10" t="s">
        <v>86</v>
      </c>
      <c r="D43" s="11">
        <v>180</v>
      </c>
      <c r="E43" s="12"/>
      <c r="F43" s="13" t="str">
        <f t="shared" si="12"/>
        <v/>
      </c>
      <c r="G43" s="14" t="str">
        <f t="shared" si="13"/>
        <v/>
      </c>
      <c r="H43" s="15"/>
      <c r="I43" s="16" t="str">
        <f t="shared" si="14"/>
        <v/>
      </c>
      <c r="J43" s="17" t="str">
        <f t="shared" si="15"/>
        <v/>
      </c>
      <c r="K43" s="10"/>
    </row>
    <row r="44" spans="1:11" ht="19.5" customHeight="1">
      <c r="A44" s="9">
        <v>37</v>
      </c>
      <c r="B44" s="9" t="s">
        <v>87</v>
      </c>
      <c r="C44" s="10" t="s">
        <v>88</v>
      </c>
      <c r="D44" s="11">
        <v>180</v>
      </c>
      <c r="E44" s="12"/>
      <c r="F44" s="13" t="str">
        <f t="shared" si="12"/>
        <v/>
      </c>
      <c r="G44" s="14" t="str">
        <f t="shared" si="13"/>
        <v/>
      </c>
      <c r="H44" s="15"/>
      <c r="I44" s="16" t="str">
        <f t="shared" si="14"/>
        <v/>
      </c>
      <c r="J44" s="17" t="str">
        <f t="shared" si="15"/>
        <v/>
      </c>
      <c r="K44" s="10"/>
    </row>
    <row r="45" spans="1:11" ht="19.5" customHeight="1">
      <c r="A45" s="9">
        <v>38</v>
      </c>
      <c r="B45" s="9" t="s">
        <v>89</v>
      </c>
      <c r="C45" s="10" t="s">
        <v>90</v>
      </c>
      <c r="D45" s="11">
        <v>179</v>
      </c>
      <c r="E45" s="12"/>
      <c r="F45" s="13" t="str">
        <f t="shared" si="12"/>
        <v/>
      </c>
      <c r="G45" s="14" t="str">
        <f t="shared" si="13"/>
        <v/>
      </c>
      <c r="H45" s="15"/>
      <c r="I45" s="16" t="str">
        <f t="shared" si="14"/>
        <v/>
      </c>
      <c r="J45" s="17" t="str">
        <f t="shared" si="15"/>
        <v/>
      </c>
      <c r="K45" s="10"/>
    </row>
    <row r="46" spans="1:11" ht="19.5" customHeight="1">
      <c r="A46" s="9">
        <v>39</v>
      </c>
      <c r="B46" s="9" t="s">
        <v>91</v>
      </c>
      <c r="C46" s="10" t="s">
        <v>92</v>
      </c>
      <c r="D46" s="11">
        <v>179</v>
      </c>
      <c r="E46" s="12"/>
      <c r="F46" s="13" t="str">
        <f t="shared" si="12"/>
        <v/>
      </c>
      <c r="G46" s="14" t="str">
        <f t="shared" si="13"/>
        <v/>
      </c>
      <c r="H46" s="15"/>
      <c r="I46" s="16" t="str">
        <f t="shared" si="14"/>
        <v/>
      </c>
      <c r="J46" s="17" t="str">
        <f t="shared" si="15"/>
        <v/>
      </c>
      <c r="K46" s="10"/>
    </row>
    <row r="47" spans="1:11" ht="19.5" customHeight="1">
      <c r="A47" s="9">
        <v>40</v>
      </c>
      <c r="B47" s="9" t="s">
        <v>93</v>
      </c>
      <c r="C47" s="10" t="s">
        <v>94</v>
      </c>
      <c r="D47" s="11">
        <v>179</v>
      </c>
      <c r="E47" s="12"/>
      <c r="F47" s="13" t="str">
        <f t="shared" si="12"/>
        <v/>
      </c>
      <c r="G47" s="14" t="str">
        <f t="shared" si="13"/>
        <v/>
      </c>
      <c r="H47" s="15"/>
      <c r="I47" s="16" t="str">
        <f t="shared" si="14"/>
        <v/>
      </c>
      <c r="J47" s="17" t="str">
        <f t="shared" si="15"/>
        <v/>
      </c>
      <c r="K47" s="10"/>
    </row>
    <row r="48" spans="1:11" ht="19.5" customHeight="1">
      <c r="A48" s="9">
        <v>41</v>
      </c>
      <c r="B48" s="9" t="s">
        <v>95</v>
      </c>
      <c r="C48" s="10" t="s">
        <v>96</v>
      </c>
      <c r="D48" s="11">
        <v>177</v>
      </c>
      <c r="E48" s="12"/>
      <c r="F48" s="13" t="str">
        <f t="shared" si="12"/>
        <v/>
      </c>
      <c r="G48" s="14" t="str">
        <f t="shared" si="13"/>
        <v/>
      </c>
      <c r="H48" s="15"/>
      <c r="I48" s="16" t="str">
        <f t="shared" si="14"/>
        <v/>
      </c>
      <c r="J48" s="17" t="str">
        <f t="shared" si="15"/>
        <v/>
      </c>
      <c r="K48" s="10"/>
    </row>
    <row r="49" spans="1:11" ht="19.5" customHeight="1">
      <c r="A49" s="2" t="s">
        <v>97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9.5" customHeight="1">
      <c r="A50" s="9">
        <v>42</v>
      </c>
      <c r="B50" s="9" t="s">
        <v>98</v>
      </c>
      <c r="C50" s="10" t="s">
        <v>99</v>
      </c>
      <c r="D50" s="11">
        <v>183</v>
      </c>
      <c r="E50" s="12"/>
      <c r="F50" s="13" t="str">
        <f t="shared" ref="F50:F60" si="16">IF(AND(ISNUMBER(D50), ISNUMBER(E50), D50&gt;0), E50/((D50/100)^2), "")</f>
        <v/>
      </c>
      <c r="G50" s="14" t="str">
        <f t="shared" ref="G50:G60" si="17">IF(F50="","",IF(F50&lt;18.5,"ผอมเกินไป",IF(F50&lt;23,"สมส่วน (ปกติ)",IF(F50&lt;25,"น้ำหนักเกิน (ท้วม)",IF(F50&lt;30,"อ้วนระดับ 1","อ้วนระดับ 2 (อ้วนมาก)")))))</f>
        <v/>
      </c>
      <c r="H50" s="15"/>
      <c r="I50" s="16" t="str">
        <f t="shared" ref="I50:I60" si="18">IF(AND(ISNUMBER(D50), ISNUMBER(H50), D50&gt;0), H50/((D50/100)^2), "")</f>
        <v/>
      </c>
      <c r="J50" s="17" t="str">
        <f t="shared" ref="J50:J60" si="19">IF(I50="","",IF(I50&lt;18.5,"ผอมเกินไป",IF(I50&lt;23,"สมส่วน (ปกติ)",IF(I50&lt;25,"น้ำหนักเกิน (ท้วม)",IF(I50&lt;30,"อ้วนระดับ 1","อ้วนระดับ 2 (อ้วนมาก)")))))</f>
        <v/>
      </c>
      <c r="K50" s="10"/>
    </row>
    <row r="51" spans="1:11" ht="19.5" customHeight="1">
      <c r="A51" s="9">
        <v>43</v>
      </c>
      <c r="B51" s="9" t="s">
        <v>100</v>
      </c>
      <c r="C51" s="10" t="s">
        <v>101</v>
      </c>
      <c r="D51" s="11">
        <v>183</v>
      </c>
      <c r="E51" s="12"/>
      <c r="F51" s="13" t="str">
        <f t="shared" si="16"/>
        <v/>
      </c>
      <c r="G51" s="14" t="str">
        <f t="shared" si="17"/>
        <v/>
      </c>
      <c r="H51" s="15"/>
      <c r="I51" s="16" t="str">
        <f t="shared" si="18"/>
        <v/>
      </c>
      <c r="J51" s="17" t="str">
        <f t="shared" si="19"/>
        <v/>
      </c>
      <c r="K51" s="10"/>
    </row>
    <row r="52" spans="1:11" ht="19.5" customHeight="1">
      <c r="A52" s="9">
        <v>44</v>
      </c>
      <c r="B52" s="9" t="s">
        <v>102</v>
      </c>
      <c r="C52" s="10" t="s">
        <v>103</v>
      </c>
      <c r="D52" s="11">
        <v>181</v>
      </c>
      <c r="E52" s="12"/>
      <c r="F52" s="13" t="str">
        <f t="shared" si="16"/>
        <v/>
      </c>
      <c r="G52" s="14" t="str">
        <f t="shared" si="17"/>
        <v/>
      </c>
      <c r="H52" s="15"/>
      <c r="I52" s="16" t="str">
        <f t="shared" si="18"/>
        <v/>
      </c>
      <c r="J52" s="17" t="str">
        <f t="shared" si="19"/>
        <v/>
      </c>
      <c r="K52" s="10"/>
    </row>
    <row r="53" spans="1:11" ht="19.5" customHeight="1">
      <c r="A53" s="9">
        <v>45</v>
      </c>
      <c r="B53" s="9" t="s">
        <v>104</v>
      </c>
      <c r="C53" s="10" t="s">
        <v>105</v>
      </c>
      <c r="D53" s="11">
        <v>180</v>
      </c>
      <c r="E53" s="12"/>
      <c r="F53" s="13" t="str">
        <f t="shared" si="16"/>
        <v/>
      </c>
      <c r="G53" s="14" t="str">
        <f t="shared" si="17"/>
        <v/>
      </c>
      <c r="H53" s="15"/>
      <c r="I53" s="16" t="str">
        <f t="shared" si="18"/>
        <v/>
      </c>
      <c r="J53" s="17" t="str">
        <f t="shared" si="19"/>
        <v/>
      </c>
      <c r="K53" s="10"/>
    </row>
    <row r="54" spans="1:11" ht="19.5" customHeight="1">
      <c r="A54" s="9">
        <v>46</v>
      </c>
      <c r="B54" s="9" t="s">
        <v>106</v>
      </c>
      <c r="C54" s="10" t="s">
        <v>107</v>
      </c>
      <c r="D54" s="11">
        <v>180</v>
      </c>
      <c r="E54" s="12"/>
      <c r="F54" s="13" t="str">
        <f t="shared" si="16"/>
        <v/>
      </c>
      <c r="G54" s="14" t="str">
        <f t="shared" si="17"/>
        <v/>
      </c>
      <c r="H54" s="15"/>
      <c r="I54" s="16" t="str">
        <f t="shared" si="18"/>
        <v/>
      </c>
      <c r="J54" s="17" t="str">
        <f t="shared" si="19"/>
        <v/>
      </c>
      <c r="K54" s="10"/>
    </row>
    <row r="55" spans="1:11" ht="19.5" customHeight="1">
      <c r="A55" s="9">
        <v>47</v>
      </c>
      <c r="B55" s="9" t="s">
        <v>108</v>
      </c>
      <c r="C55" s="10" t="s">
        <v>109</v>
      </c>
      <c r="D55" s="11">
        <v>179</v>
      </c>
      <c r="E55" s="12"/>
      <c r="F55" s="13" t="str">
        <f t="shared" si="16"/>
        <v/>
      </c>
      <c r="G55" s="14" t="str">
        <f t="shared" si="17"/>
        <v/>
      </c>
      <c r="H55" s="15"/>
      <c r="I55" s="16" t="str">
        <f t="shared" si="18"/>
        <v/>
      </c>
      <c r="J55" s="17" t="str">
        <f t="shared" si="19"/>
        <v/>
      </c>
      <c r="K55" s="10"/>
    </row>
    <row r="56" spans="1:11" ht="19.5" customHeight="1">
      <c r="A56" s="9">
        <v>48</v>
      </c>
      <c r="B56" s="9" t="s">
        <v>110</v>
      </c>
      <c r="C56" s="10" t="s">
        <v>111</v>
      </c>
      <c r="D56" s="11">
        <v>179</v>
      </c>
      <c r="E56" s="12"/>
      <c r="F56" s="13" t="str">
        <f t="shared" si="16"/>
        <v/>
      </c>
      <c r="G56" s="14" t="str">
        <f t="shared" si="17"/>
        <v/>
      </c>
      <c r="H56" s="15"/>
      <c r="I56" s="16" t="str">
        <f t="shared" si="18"/>
        <v/>
      </c>
      <c r="J56" s="17" t="str">
        <f t="shared" si="19"/>
        <v/>
      </c>
      <c r="K56" s="10"/>
    </row>
    <row r="57" spans="1:11" ht="19.5" customHeight="1">
      <c r="A57" s="9">
        <v>49</v>
      </c>
      <c r="B57" s="9" t="s">
        <v>112</v>
      </c>
      <c r="C57" s="10" t="s">
        <v>113</v>
      </c>
      <c r="D57" s="11">
        <v>179</v>
      </c>
      <c r="E57" s="12"/>
      <c r="F57" s="13" t="str">
        <f t="shared" si="16"/>
        <v/>
      </c>
      <c r="G57" s="14" t="str">
        <f t="shared" si="17"/>
        <v/>
      </c>
      <c r="H57" s="15"/>
      <c r="I57" s="16" t="str">
        <f t="shared" si="18"/>
        <v/>
      </c>
      <c r="J57" s="17" t="str">
        <f t="shared" si="19"/>
        <v/>
      </c>
      <c r="K57" s="10"/>
    </row>
    <row r="58" spans="1:11" ht="19.5" customHeight="1">
      <c r="A58" s="9">
        <v>50</v>
      </c>
      <c r="B58" s="9" t="s">
        <v>114</v>
      </c>
      <c r="C58" s="10" t="s">
        <v>115</v>
      </c>
      <c r="D58" s="11">
        <v>178</v>
      </c>
      <c r="E58" s="12"/>
      <c r="F58" s="13" t="str">
        <f t="shared" si="16"/>
        <v/>
      </c>
      <c r="G58" s="14" t="str">
        <f t="shared" si="17"/>
        <v/>
      </c>
      <c r="H58" s="15"/>
      <c r="I58" s="16" t="str">
        <f t="shared" si="18"/>
        <v/>
      </c>
      <c r="J58" s="17" t="str">
        <f t="shared" si="19"/>
        <v/>
      </c>
      <c r="K58" s="10"/>
    </row>
    <row r="59" spans="1:11" ht="19.5" customHeight="1">
      <c r="A59" s="9">
        <v>51</v>
      </c>
      <c r="B59" s="9" t="s">
        <v>116</v>
      </c>
      <c r="C59" s="10" t="s">
        <v>117</v>
      </c>
      <c r="D59" s="11">
        <v>177</v>
      </c>
      <c r="E59" s="12"/>
      <c r="F59" s="13" t="str">
        <f t="shared" si="16"/>
        <v/>
      </c>
      <c r="G59" s="14" t="str">
        <f t="shared" si="17"/>
        <v/>
      </c>
      <c r="H59" s="15"/>
      <c r="I59" s="16" t="str">
        <f t="shared" si="18"/>
        <v/>
      </c>
      <c r="J59" s="17" t="str">
        <f t="shared" si="19"/>
        <v/>
      </c>
      <c r="K59" s="10"/>
    </row>
    <row r="60" spans="1:11" ht="19.5" customHeight="1">
      <c r="A60" s="9">
        <v>52</v>
      </c>
      <c r="B60" s="9" t="s">
        <v>118</v>
      </c>
      <c r="C60" s="10" t="s">
        <v>119</v>
      </c>
      <c r="D60" s="11">
        <v>177</v>
      </c>
      <c r="E60" s="12"/>
      <c r="F60" s="13" t="str">
        <f t="shared" si="16"/>
        <v/>
      </c>
      <c r="G60" s="14" t="str">
        <f t="shared" si="17"/>
        <v/>
      </c>
      <c r="H60" s="15"/>
      <c r="I60" s="16" t="str">
        <f t="shared" si="18"/>
        <v/>
      </c>
      <c r="J60" s="17" t="str">
        <f t="shared" si="19"/>
        <v/>
      </c>
      <c r="K60" s="10"/>
    </row>
    <row r="61" spans="1:11" ht="19.5" customHeight="1">
      <c r="A61" s="2" t="s">
        <v>120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9.5" customHeight="1">
      <c r="A62" s="9">
        <v>53</v>
      </c>
      <c r="B62" s="9" t="s">
        <v>121</v>
      </c>
      <c r="C62" s="10" t="s">
        <v>122</v>
      </c>
      <c r="D62" s="11">
        <v>176</v>
      </c>
      <c r="E62" s="12"/>
      <c r="F62" s="13" t="str">
        <f t="shared" ref="F62:F72" si="20">IF(AND(ISNUMBER(D62), ISNUMBER(E62), D62&gt;0), E62/((D62/100)^2), "")</f>
        <v/>
      </c>
      <c r="G62" s="14" t="str">
        <f t="shared" ref="G62:G72" si="21">IF(F62="","",IF(F62&lt;18.5,"ผอมเกินไป",IF(F62&lt;23,"สมส่วน (ปกติ)",IF(F62&lt;25,"น้ำหนักเกิน (ท้วม)",IF(F62&lt;30,"อ้วนระดับ 1","อ้วนระดับ 2 (อ้วนมาก)")))))</f>
        <v/>
      </c>
      <c r="H62" s="15"/>
      <c r="I62" s="16" t="str">
        <f t="shared" ref="I62:I72" si="22">IF(AND(ISNUMBER(D62), ISNUMBER(H62), D62&gt;0), H62/((D62/100)^2), "")</f>
        <v/>
      </c>
      <c r="J62" s="17" t="str">
        <f t="shared" ref="J62:J72" si="23">IF(I62="","",IF(I62&lt;18.5,"ผอมเกินไป",IF(I62&lt;23,"สมส่วน (ปกติ)",IF(I62&lt;25,"น้ำหนักเกิน (ท้วม)",IF(I62&lt;30,"อ้วนระดับ 1","อ้วนระดับ 2 (อ้วนมาก)")))))</f>
        <v/>
      </c>
      <c r="K62" s="10"/>
    </row>
    <row r="63" spans="1:11" ht="19.5" customHeight="1">
      <c r="A63" s="9">
        <v>54</v>
      </c>
      <c r="B63" s="9" t="s">
        <v>123</v>
      </c>
      <c r="C63" s="10" t="s">
        <v>124</v>
      </c>
      <c r="D63" s="11">
        <v>176</v>
      </c>
      <c r="E63" s="12"/>
      <c r="F63" s="13" t="str">
        <f t="shared" si="20"/>
        <v/>
      </c>
      <c r="G63" s="14" t="str">
        <f t="shared" si="21"/>
        <v/>
      </c>
      <c r="H63" s="15"/>
      <c r="I63" s="16" t="str">
        <f t="shared" si="22"/>
        <v/>
      </c>
      <c r="J63" s="17" t="str">
        <f t="shared" si="23"/>
        <v/>
      </c>
      <c r="K63" s="10"/>
    </row>
    <row r="64" spans="1:11" ht="19.5" customHeight="1">
      <c r="A64" s="9">
        <v>55</v>
      </c>
      <c r="B64" s="9" t="s">
        <v>125</v>
      </c>
      <c r="C64" s="10" t="s">
        <v>126</v>
      </c>
      <c r="D64" s="11">
        <v>176</v>
      </c>
      <c r="E64" s="12"/>
      <c r="F64" s="13" t="str">
        <f t="shared" si="20"/>
        <v/>
      </c>
      <c r="G64" s="14" t="str">
        <f t="shared" si="21"/>
        <v/>
      </c>
      <c r="H64" s="15"/>
      <c r="I64" s="16" t="str">
        <f t="shared" si="22"/>
        <v/>
      </c>
      <c r="J64" s="17" t="str">
        <f t="shared" si="23"/>
        <v/>
      </c>
      <c r="K64" s="10"/>
    </row>
    <row r="65" spans="1:11" ht="19.5" customHeight="1">
      <c r="A65" s="9">
        <v>56</v>
      </c>
      <c r="B65" s="9" t="s">
        <v>127</v>
      </c>
      <c r="C65" s="10" t="s">
        <v>128</v>
      </c>
      <c r="D65" s="11">
        <v>176</v>
      </c>
      <c r="E65" s="12"/>
      <c r="F65" s="13" t="str">
        <f t="shared" si="20"/>
        <v/>
      </c>
      <c r="G65" s="14" t="str">
        <f t="shared" si="21"/>
        <v/>
      </c>
      <c r="H65" s="15"/>
      <c r="I65" s="16" t="str">
        <f t="shared" si="22"/>
        <v/>
      </c>
      <c r="J65" s="17" t="str">
        <f t="shared" si="23"/>
        <v/>
      </c>
      <c r="K65" s="10"/>
    </row>
    <row r="66" spans="1:11" ht="19.5" customHeight="1">
      <c r="A66" s="9">
        <v>57</v>
      </c>
      <c r="B66" s="9" t="s">
        <v>129</v>
      </c>
      <c r="C66" s="10" t="s">
        <v>130</v>
      </c>
      <c r="D66" s="11">
        <v>176</v>
      </c>
      <c r="E66" s="12"/>
      <c r="F66" s="13" t="str">
        <f t="shared" si="20"/>
        <v/>
      </c>
      <c r="G66" s="14" t="str">
        <f t="shared" si="21"/>
        <v/>
      </c>
      <c r="H66" s="15"/>
      <c r="I66" s="16" t="str">
        <f t="shared" si="22"/>
        <v/>
      </c>
      <c r="J66" s="17" t="str">
        <f t="shared" si="23"/>
        <v/>
      </c>
      <c r="K66" s="10"/>
    </row>
    <row r="67" spans="1:11" ht="19.5" customHeight="1">
      <c r="A67" s="9">
        <v>58</v>
      </c>
      <c r="B67" s="9" t="s">
        <v>131</v>
      </c>
      <c r="C67" s="10" t="s">
        <v>132</v>
      </c>
      <c r="D67" s="11">
        <v>175</v>
      </c>
      <c r="E67" s="12"/>
      <c r="F67" s="13" t="str">
        <f t="shared" si="20"/>
        <v/>
      </c>
      <c r="G67" s="14" t="str">
        <f t="shared" si="21"/>
        <v/>
      </c>
      <c r="H67" s="15"/>
      <c r="I67" s="16" t="str">
        <f t="shared" si="22"/>
        <v/>
      </c>
      <c r="J67" s="17" t="str">
        <f t="shared" si="23"/>
        <v/>
      </c>
      <c r="K67" s="10"/>
    </row>
    <row r="68" spans="1:11" ht="19.5" customHeight="1">
      <c r="A68" s="9">
        <v>59</v>
      </c>
      <c r="B68" s="9" t="s">
        <v>133</v>
      </c>
      <c r="C68" s="10" t="s">
        <v>134</v>
      </c>
      <c r="D68" s="11">
        <v>176</v>
      </c>
      <c r="E68" s="12"/>
      <c r="F68" s="13" t="str">
        <f t="shared" si="20"/>
        <v/>
      </c>
      <c r="G68" s="14" t="str">
        <f t="shared" si="21"/>
        <v/>
      </c>
      <c r="H68" s="15"/>
      <c r="I68" s="16" t="str">
        <f t="shared" si="22"/>
        <v/>
      </c>
      <c r="J68" s="17" t="str">
        <f t="shared" si="23"/>
        <v/>
      </c>
      <c r="K68" s="10"/>
    </row>
    <row r="69" spans="1:11" ht="19.5" customHeight="1">
      <c r="A69" s="9">
        <v>60</v>
      </c>
      <c r="B69" s="9" t="s">
        <v>135</v>
      </c>
      <c r="C69" s="10" t="s">
        <v>136</v>
      </c>
      <c r="D69" s="11">
        <v>176</v>
      </c>
      <c r="E69" s="12"/>
      <c r="F69" s="13" t="str">
        <f t="shared" si="20"/>
        <v/>
      </c>
      <c r="G69" s="14" t="str">
        <f t="shared" si="21"/>
        <v/>
      </c>
      <c r="H69" s="15"/>
      <c r="I69" s="16" t="str">
        <f t="shared" si="22"/>
        <v/>
      </c>
      <c r="J69" s="17" t="str">
        <f t="shared" si="23"/>
        <v/>
      </c>
      <c r="K69" s="10"/>
    </row>
    <row r="70" spans="1:11" ht="19.5" customHeight="1">
      <c r="A70" s="9">
        <v>61</v>
      </c>
      <c r="B70" s="9" t="s">
        <v>137</v>
      </c>
      <c r="C70" s="10" t="s">
        <v>138</v>
      </c>
      <c r="D70" s="11">
        <v>175</v>
      </c>
      <c r="E70" s="12"/>
      <c r="F70" s="13" t="str">
        <f t="shared" si="20"/>
        <v/>
      </c>
      <c r="G70" s="14" t="str">
        <f t="shared" si="21"/>
        <v/>
      </c>
      <c r="H70" s="15"/>
      <c r="I70" s="16" t="str">
        <f t="shared" si="22"/>
        <v/>
      </c>
      <c r="J70" s="17" t="str">
        <f t="shared" si="23"/>
        <v/>
      </c>
      <c r="K70" s="10"/>
    </row>
    <row r="71" spans="1:11" ht="19.5" customHeight="1">
      <c r="A71" s="9">
        <v>62</v>
      </c>
      <c r="B71" s="9" t="s">
        <v>139</v>
      </c>
      <c r="C71" s="10" t="s">
        <v>140</v>
      </c>
      <c r="D71" s="11">
        <v>174</v>
      </c>
      <c r="E71" s="12"/>
      <c r="F71" s="13" t="str">
        <f t="shared" si="20"/>
        <v/>
      </c>
      <c r="G71" s="14" t="str">
        <f t="shared" si="21"/>
        <v/>
      </c>
      <c r="H71" s="15"/>
      <c r="I71" s="16" t="str">
        <f t="shared" si="22"/>
        <v/>
      </c>
      <c r="J71" s="17" t="str">
        <f t="shared" si="23"/>
        <v/>
      </c>
      <c r="K71" s="10"/>
    </row>
    <row r="72" spans="1:11" ht="19.5" customHeight="1">
      <c r="A72" s="9">
        <v>63</v>
      </c>
      <c r="B72" s="9" t="s">
        <v>141</v>
      </c>
      <c r="C72" s="10" t="s">
        <v>142</v>
      </c>
      <c r="D72" s="11">
        <v>174</v>
      </c>
      <c r="E72" s="12"/>
      <c r="F72" s="13" t="str">
        <f t="shared" si="20"/>
        <v/>
      </c>
      <c r="G72" s="14" t="str">
        <f t="shared" si="21"/>
        <v/>
      </c>
      <c r="H72" s="15"/>
      <c r="I72" s="16" t="str">
        <f t="shared" si="22"/>
        <v/>
      </c>
      <c r="J72" s="17" t="str">
        <f t="shared" si="23"/>
        <v/>
      </c>
      <c r="K72" s="10"/>
    </row>
    <row r="73" spans="1:11" ht="19.5" customHeight="1">
      <c r="A73" s="2" t="s">
        <v>143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9.5" customHeight="1">
      <c r="A74" s="9">
        <v>64</v>
      </c>
      <c r="B74" s="9" t="s">
        <v>144</v>
      </c>
      <c r="C74" s="10" t="s">
        <v>145</v>
      </c>
      <c r="D74" s="11">
        <v>176</v>
      </c>
      <c r="E74" s="12"/>
      <c r="F74" s="13" t="str">
        <f t="shared" ref="F74:F83" si="24">IF(AND(ISNUMBER(D74), ISNUMBER(E74), D74&gt;0), E74/((D74/100)^2), "")</f>
        <v/>
      </c>
      <c r="G74" s="14" t="str">
        <f t="shared" ref="G74:G83" si="25">IF(F74="","",IF(F74&lt;18.5,"ผอมเกินไป",IF(F74&lt;23,"สมส่วน (ปกติ)",IF(F74&lt;25,"น้ำหนักเกิน (ท้วม)",IF(F74&lt;30,"อ้วนระดับ 1","อ้วนระดับ 2 (อ้วนมาก)")))))</f>
        <v/>
      </c>
      <c r="H74" s="15"/>
      <c r="I74" s="16" t="str">
        <f t="shared" ref="I74:I83" si="26">IF(AND(ISNUMBER(D74), ISNUMBER(H74), D74&gt;0), H74/((D74/100)^2), "")</f>
        <v/>
      </c>
      <c r="J74" s="17" t="str">
        <f t="shared" ref="J74:J83" si="27">IF(I74="","",IF(I74&lt;18.5,"ผอมเกินไป",IF(I74&lt;23,"สมส่วน (ปกติ)",IF(I74&lt;25,"น้ำหนักเกิน (ท้วม)",IF(I74&lt;30,"อ้วนระดับ 1","อ้วนระดับ 2 (อ้วนมาก)")))))</f>
        <v/>
      </c>
      <c r="K74" s="10"/>
    </row>
    <row r="75" spans="1:11" ht="19.5" customHeight="1">
      <c r="A75" s="9">
        <v>65</v>
      </c>
      <c r="B75" s="9" t="s">
        <v>146</v>
      </c>
      <c r="C75" s="10" t="s">
        <v>147</v>
      </c>
      <c r="D75" s="11">
        <v>176</v>
      </c>
      <c r="E75" s="12"/>
      <c r="F75" s="13" t="str">
        <f t="shared" si="24"/>
        <v/>
      </c>
      <c r="G75" s="14" t="str">
        <f t="shared" si="25"/>
        <v/>
      </c>
      <c r="H75" s="15"/>
      <c r="I75" s="16" t="str">
        <f t="shared" si="26"/>
        <v/>
      </c>
      <c r="J75" s="17" t="str">
        <f t="shared" si="27"/>
        <v/>
      </c>
      <c r="K75" s="10"/>
    </row>
    <row r="76" spans="1:11" ht="19.5" customHeight="1">
      <c r="A76" s="9">
        <v>66</v>
      </c>
      <c r="B76" s="9" t="s">
        <v>148</v>
      </c>
      <c r="C76" s="10" t="s">
        <v>149</v>
      </c>
      <c r="D76" s="11">
        <v>176</v>
      </c>
      <c r="E76" s="12"/>
      <c r="F76" s="13" t="str">
        <f t="shared" si="24"/>
        <v/>
      </c>
      <c r="G76" s="14" t="str">
        <f t="shared" si="25"/>
        <v/>
      </c>
      <c r="H76" s="15"/>
      <c r="I76" s="16" t="str">
        <f t="shared" si="26"/>
        <v/>
      </c>
      <c r="J76" s="17" t="str">
        <f t="shared" si="27"/>
        <v/>
      </c>
      <c r="K76" s="10"/>
    </row>
    <row r="77" spans="1:11" ht="19.5" customHeight="1">
      <c r="A77" s="9">
        <v>67</v>
      </c>
      <c r="B77" s="9" t="s">
        <v>150</v>
      </c>
      <c r="C77" s="10" t="s">
        <v>151</v>
      </c>
      <c r="D77" s="11">
        <v>175</v>
      </c>
      <c r="E77" s="12"/>
      <c r="F77" s="13" t="str">
        <f t="shared" si="24"/>
        <v/>
      </c>
      <c r="G77" s="14" t="str">
        <f t="shared" si="25"/>
        <v/>
      </c>
      <c r="H77" s="15"/>
      <c r="I77" s="16" t="str">
        <f t="shared" si="26"/>
        <v/>
      </c>
      <c r="J77" s="17" t="str">
        <f t="shared" si="27"/>
        <v/>
      </c>
      <c r="K77" s="10"/>
    </row>
    <row r="78" spans="1:11" ht="19.5" customHeight="1">
      <c r="A78" s="9">
        <v>68</v>
      </c>
      <c r="B78" s="9" t="s">
        <v>152</v>
      </c>
      <c r="C78" s="10" t="s">
        <v>153</v>
      </c>
      <c r="D78" s="11">
        <v>174</v>
      </c>
      <c r="E78" s="12"/>
      <c r="F78" s="13" t="str">
        <f t="shared" si="24"/>
        <v/>
      </c>
      <c r="G78" s="14" t="str">
        <f t="shared" si="25"/>
        <v/>
      </c>
      <c r="H78" s="15"/>
      <c r="I78" s="16" t="str">
        <f t="shared" si="26"/>
        <v/>
      </c>
      <c r="J78" s="17" t="str">
        <f t="shared" si="27"/>
        <v/>
      </c>
      <c r="K78" s="10"/>
    </row>
    <row r="79" spans="1:11" ht="19.5" customHeight="1">
      <c r="A79" s="9">
        <v>69</v>
      </c>
      <c r="B79" s="9" t="s">
        <v>154</v>
      </c>
      <c r="C79" s="10" t="s">
        <v>155</v>
      </c>
      <c r="D79" s="11">
        <v>174</v>
      </c>
      <c r="E79" s="12"/>
      <c r="F79" s="13" t="str">
        <f t="shared" si="24"/>
        <v/>
      </c>
      <c r="G79" s="14" t="str">
        <f t="shared" si="25"/>
        <v/>
      </c>
      <c r="H79" s="15"/>
      <c r="I79" s="16" t="str">
        <f t="shared" si="26"/>
        <v/>
      </c>
      <c r="J79" s="17" t="str">
        <f t="shared" si="27"/>
        <v/>
      </c>
      <c r="K79" s="10"/>
    </row>
    <row r="80" spans="1:11" ht="19.5" customHeight="1">
      <c r="A80" s="9">
        <v>70</v>
      </c>
      <c r="B80" s="9" t="s">
        <v>156</v>
      </c>
      <c r="C80" s="10" t="s">
        <v>157</v>
      </c>
      <c r="D80" s="11">
        <v>175</v>
      </c>
      <c r="E80" s="12"/>
      <c r="F80" s="13" t="str">
        <f t="shared" si="24"/>
        <v/>
      </c>
      <c r="G80" s="14" t="str">
        <f t="shared" si="25"/>
        <v/>
      </c>
      <c r="H80" s="15"/>
      <c r="I80" s="16" t="str">
        <f t="shared" si="26"/>
        <v/>
      </c>
      <c r="J80" s="17" t="str">
        <f t="shared" si="27"/>
        <v/>
      </c>
      <c r="K80" s="10"/>
    </row>
    <row r="81" spans="1:11" ht="19.5" customHeight="1">
      <c r="A81" s="9">
        <v>71</v>
      </c>
      <c r="B81" s="9" t="s">
        <v>158</v>
      </c>
      <c r="C81" s="10" t="s">
        <v>159</v>
      </c>
      <c r="D81" s="11">
        <v>173</v>
      </c>
      <c r="E81" s="12"/>
      <c r="F81" s="13" t="str">
        <f t="shared" si="24"/>
        <v/>
      </c>
      <c r="G81" s="14" t="str">
        <f t="shared" si="25"/>
        <v/>
      </c>
      <c r="H81" s="15"/>
      <c r="I81" s="16" t="str">
        <f t="shared" si="26"/>
        <v/>
      </c>
      <c r="J81" s="17" t="str">
        <f t="shared" si="27"/>
        <v/>
      </c>
      <c r="K81" s="10"/>
    </row>
    <row r="82" spans="1:11" ht="19.5" customHeight="1">
      <c r="A82" s="9">
        <v>72</v>
      </c>
      <c r="B82" s="9" t="s">
        <v>160</v>
      </c>
      <c r="C82" s="10" t="s">
        <v>161</v>
      </c>
      <c r="D82" s="11">
        <v>173</v>
      </c>
      <c r="E82" s="12"/>
      <c r="F82" s="13" t="str">
        <f t="shared" si="24"/>
        <v/>
      </c>
      <c r="G82" s="14" t="str">
        <f t="shared" si="25"/>
        <v/>
      </c>
      <c r="H82" s="15"/>
      <c r="I82" s="16" t="str">
        <f t="shared" si="26"/>
        <v/>
      </c>
      <c r="J82" s="17" t="str">
        <f t="shared" si="27"/>
        <v/>
      </c>
      <c r="K82" s="10"/>
    </row>
    <row r="83" spans="1:11" ht="19.5" customHeight="1">
      <c r="A83" s="9">
        <v>73</v>
      </c>
      <c r="B83" s="9" t="s">
        <v>162</v>
      </c>
      <c r="C83" s="10" t="s">
        <v>163</v>
      </c>
      <c r="D83" s="11">
        <v>173</v>
      </c>
      <c r="E83" s="12"/>
      <c r="F83" s="13" t="str">
        <f t="shared" si="24"/>
        <v/>
      </c>
      <c r="G83" s="14" t="str">
        <f t="shared" si="25"/>
        <v/>
      </c>
      <c r="H83" s="15"/>
      <c r="I83" s="16" t="str">
        <f t="shared" si="26"/>
        <v/>
      </c>
      <c r="J83" s="17" t="str">
        <f t="shared" si="27"/>
        <v/>
      </c>
      <c r="K83" s="10"/>
    </row>
    <row r="84" spans="1:11" ht="19.5" customHeight="1">
      <c r="A84" s="2" t="s">
        <v>164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9.5" customHeight="1">
      <c r="A85" s="9">
        <v>74</v>
      </c>
      <c r="B85" s="9" t="s">
        <v>165</v>
      </c>
      <c r="C85" s="10" t="s">
        <v>166</v>
      </c>
      <c r="D85" s="11">
        <v>176</v>
      </c>
      <c r="E85" s="12"/>
      <c r="F85" s="13" t="str">
        <f t="shared" ref="F85:F93" si="28">IF(AND(ISNUMBER(D85), ISNUMBER(E85), D85&gt;0), E85/((D85/100)^2), "")</f>
        <v/>
      </c>
      <c r="G85" s="14" t="str">
        <f t="shared" ref="G85:G93" si="29">IF(F85="","",IF(F85&lt;18.5,"ผอมเกินไป",IF(F85&lt;23,"สมส่วน (ปกติ)",IF(F85&lt;25,"น้ำหนักเกิน (ท้วม)",IF(F85&lt;30,"อ้วนระดับ 1","อ้วนระดับ 2 (อ้วนมาก)")))))</f>
        <v/>
      </c>
      <c r="H85" s="15"/>
      <c r="I85" s="16" t="str">
        <f t="shared" ref="I85:I93" si="30">IF(AND(ISNUMBER(D85), ISNUMBER(H85), D85&gt;0), H85/((D85/100)^2), "")</f>
        <v/>
      </c>
      <c r="J85" s="17" t="str">
        <f t="shared" ref="J85:J93" si="31">IF(I85="","",IF(I85&lt;18.5,"ผอมเกินไป",IF(I85&lt;23,"สมส่วน (ปกติ)",IF(I85&lt;25,"น้ำหนักเกิน (ท้วม)",IF(I85&lt;30,"อ้วนระดับ 1","อ้วนระดับ 2 (อ้วนมาก)")))))</f>
        <v/>
      </c>
      <c r="K85" s="10"/>
    </row>
    <row r="86" spans="1:11" ht="19.5" customHeight="1">
      <c r="A86" s="9">
        <v>75</v>
      </c>
      <c r="B86" s="9" t="s">
        <v>167</v>
      </c>
      <c r="C86" s="10" t="s">
        <v>168</v>
      </c>
      <c r="D86" s="11">
        <v>176</v>
      </c>
      <c r="E86" s="12"/>
      <c r="F86" s="13" t="str">
        <f t="shared" si="28"/>
        <v/>
      </c>
      <c r="G86" s="14" t="str">
        <f t="shared" si="29"/>
        <v/>
      </c>
      <c r="H86" s="15"/>
      <c r="I86" s="16" t="str">
        <f t="shared" si="30"/>
        <v/>
      </c>
      <c r="J86" s="17" t="str">
        <f t="shared" si="31"/>
        <v/>
      </c>
      <c r="K86" s="10"/>
    </row>
    <row r="87" spans="1:11" ht="19.5" customHeight="1">
      <c r="A87" s="9">
        <v>76</v>
      </c>
      <c r="B87" s="9" t="s">
        <v>169</v>
      </c>
      <c r="C87" s="10" t="s">
        <v>170</v>
      </c>
      <c r="D87" s="11">
        <v>176</v>
      </c>
      <c r="E87" s="12"/>
      <c r="F87" s="13" t="str">
        <f t="shared" si="28"/>
        <v/>
      </c>
      <c r="G87" s="14" t="str">
        <f t="shared" si="29"/>
        <v/>
      </c>
      <c r="H87" s="15"/>
      <c r="I87" s="16" t="str">
        <f t="shared" si="30"/>
        <v/>
      </c>
      <c r="J87" s="17" t="str">
        <f t="shared" si="31"/>
        <v/>
      </c>
      <c r="K87" s="10"/>
    </row>
    <row r="88" spans="1:11" ht="19.5" customHeight="1">
      <c r="A88" s="9">
        <v>77</v>
      </c>
      <c r="B88" s="9" t="s">
        <v>171</v>
      </c>
      <c r="C88" s="10" t="s">
        <v>172</v>
      </c>
      <c r="D88" s="11">
        <v>176</v>
      </c>
      <c r="E88" s="12"/>
      <c r="F88" s="13" t="str">
        <f t="shared" si="28"/>
        <v/>
      </c>
      <c r="G88" s="14" t="str">
        <f t="shared" si="29"/>
        <v/>
      </c>
      <c r="H88" s="15"/>
      <c r="I88" s="16" t="str">
        <f t="shared" si="30"/>
        <v/>
      </c>
      <c r="J88" s="17" t="str">
        <f t="shared" si="31"/>
        <v/>
      </c>
      <c r="K88" s="10"/>
    </row>
    <row r="89" spans="1:11" ht="19.5" customHeight="1">
      <c r="A89" s="9">
        <v>78</v>
      </c>
      <c r="B89" s="9" t="s">
        <v>173</v>
      </c>
      <c r="C89" s="10" t="s">
        <v>174</v>
      </c>
      <c r="D89" s="11">
        <v>176</v>
      </c>
      <c r="E89" s="12"/>
      <c r="F89" s="13" t="str">
        <f t="shared" si="28"/>
        <v/>
      </c>
      <c r="G89" s="14" t="str">
        <f t="shared" si="29"/>
        <v/>
      </c>
      <c r="H89" s="15"/>
      <c r="I89" s="16" t="str">
        <f t="shared" si="30"/>
        <v/>
      </c>
      <c r="J89" s="17" t="str">
        <f t="shared" si="31"/>
        <v/>
      </c>
      <c r="K89" s="10"/>
    </row>
    <row r="90" spans="1:11" ht="19.5" customHeight="1">
      <c r="A90" s="9">
        <v>79</v>
      </c>
      <c r="B90" s="9" t="s">
        <v>175</v>
      </c>
      <c r="C90" s="10" t="s">
        <v>176</v>
      </c>
      <c r="D90" s="11">
        <v>175</v>
      </c>
      <c r="E90" s="12"/>
      <c r="F90" s="13" t="str">
        <f t="shared" si="28"/>
        <v/>
      </c>
      <c r="G90" s="14" t="str">
        <f t="shared" si="29"/>
        <v/>
      </c>
      <c r="H90" s="15"/>
      <c r="I90" s="16" t="str">
        <f t="shared" si="30"/>
        <v/>
      </c>
      <c r="J90" s="17" t="str">
        <f t="shared" si="31"/>
        <v/>
      </c>
      <c r="K90" s="10"/>
    </row>
    <row r="91" spans="1:11" ht="19.5" customHeight="1">
      <c r="A91" s="9">
        <v>80</v>
      </c>
      <c r="B91" s="9" t="s">
        <v>177</v>
      </c>
      <c r="C91" s="10" t="s">
        <v>178</v>
      </c>
      <c r="D91" s="11">
        <v>175</v>
      </c>
      <c r="E91" s="12"/>
      <c r="F91" s="13" t="str">
        <f t="shared" si="28"/>
        <v/>
      </c>
      <c r="G91" s="14" t="str">
        <f t="shared" si="29"/>
        <v/>
      </c>
      <c r="H91" s="15"/>
      <c r="I91" s="16" t="str">
        <f t="shared" si="30"/>
        <v/>
      </c>
      <c r="J91" s="17" t="str">
        <f t="shared" si="31"/>
        <v/>
      </c>
      <c r="K91" s="10"/>
    </row>
    <row r="92" spans="1:11" ht="19.5" customHeight="1">
      <c r="A92" s="9">
        <v>81</v>
      </c>
      <c r="B92" s="9" t="s">
        <v>179</v>
      </c>
      <c r="C92" s="10" t="s">
        <v>180</v>
      </c>
      <c r="D92" s="11">
        <v>175</v>
      </c>
      <c r="E92" s="12"/>
      <c r="F92" s="13" t="str">
        <f t="shared" si="28"/>
        <v/>
      </c>
      <c r="G92" s="14" t="str">
        <f t="shared" si="29"/>
        <v/>
      </c>
      <c r="H92" s="15"/>
      <c r="I92" s="16" t="str">
        <f t="shared" si="30"/>
        <v/>
      </c>
      <c r="J92" s="17" t="str">
        <f t="shared" si="31"/>
        <v/>
      </c>
      <c r="K92" s="10"/>
    </row>
    <row r="93" spans="1:11" ht="19.5" customHeight="1">
      <c r="A93" s="9">
        <v>82</v>
      </c>
      <c r="B93" s="9" t="s">
        <v>181</v>
      </c>
      <c r="C93" s="10" t="s">
        <v>182</v>
      </c>
      <c r="D93" s="11">
        <v>174</v>
      </c>
      <c r="E93" s="12"/>
      <c r="F93" s="13" t="str">
        <f t="shared" si="28"/>
        <v/>
      </c>
      <c r="G93" s="14" t="str">
        <f t="shared" si="29"/>
        <v/>
      </c>
      <c r="H93" s="15"/>
      <c r="I93" s="16" t="str">
        <f t="shared" si="30"/>
        <v/>
      </c>
      <c r="J93" s="17" t="str">
        <f t="shared" si="31"/>
        <v/>
      </c>
      <c r="K93" s="10"/>
    </row>
    <row r="94" spans="1:11" ht="19.5" customHeight="1">
      <c r="A94" s="18">
        <v>83</v>
      </c>
      <c r="B94" s="18" t="s">
        <v>183</v>
      </c>
      <c r="C94" s="19" t="s">
        <v>184</v>
      </c>
      <c r="D94" s="1" t="s">
        <v>185</v>
      </c>
      <c r="E94" s="1"/>
      <c r="F94" s="1"/>
      <c r="G94" s="1"/>
      <c r="H94" s="1"/>
      <c r="I94" s="1"/>
      <c r="J94" s="1"/>
      <c r="K94" s="1"/>
    </row>
    <row r="95" spans="1:11" ht="19.5" customHeight="1">
      <c r="A95" s="2" t="s">
        <v>186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9.5" customHeight="1">
      <c r="A96" s="9">
        <v>84</v>
      </c>
      <c r="B96" s="9" t="s">
        <v>187</v>
      </c>
      <c r="C96" s="10" t="s">
        <v>188</v>
      </c>
      <c r="D96" s="11">
        <v>174</v>
      </c>
      <c r="E96" s="12"/>
      <c r="F96" s="13" t="str">
        <f t="shared" ref="F96:F105" si="32">IF(AND(ISNUMBER(D96), ISNUMBER(E96), D96&gt;0), E96/((D96/100)^2), "")</f>
        <v/>
      </c>
      <c r="G96" s="14" t="str">
        <f t="shared" ref="G96:G105" si="33">IF(F96="","",IF(F96&lt;18.5,"ผอมเกินไป",IF(F96&lt;23,"สมส่วน (ปกติ)",IF(F96&lt;25,"น้ำหนักเกิน (ท้วม)",IF(F96&lt;30,"อ้วนระดับ 1","อ้วนระดับ 2 (อ้วนมาก)")))))</f>
        <v/>
      </c>
      <c r="H96" s="15"/>
      <c r="I96" s="16" t="str">
        <f t="shared" ref="I96:I105" si="34">IF(AND(ISNUMBER(D96), ISNUMBER(H96), D96&gt;0), H96/((D96/100)^2), "")</f>
        <v/>
      </c>
      <c r="J96" s="17" t="str">
        <f t="shared" ref="J96:J105" si="35">IF(I96="","",IF(I96&lt;18.5,"ผอมเกินไป",IF(I96&lt;23,"สมส่วน (ปกติ)",IF(I96&lt;25,"น้ำหนักเกิน (ท้วม)",IF(I96&lt;30,"อ้วนระดับ 1","อ้วนระดับ 2 (อ้วนมาก)")))))</f>
        <v/>
      </c>
      <c r="K96" s="10"/>
    </row>
    <row r="97" spans="1:11" ht="19.5" customHeight="1">
      <c r="A97" s="9">
        <v>85</v>
      </c>
      <c r="B97" s="9" t="s">
        <v>189</v>
      </c>
      <c r="C97" s="10" t="s">
        <v>190</v>
      </c>
      <c r="D97" s="11">
        <v>176</v>
      </c>
      <c r="E97" s="12"/>
      <c r="F97" s="13" t="str">
        <f t="shared" si="32"/>
        <v/>
      </c>
      <c r="G97" s="14" t="str">
        <f t="shared" si="33"/>
        <v/>
      </c>
      <c r="H97" s="15"/>
      <c r="I97" s="16" t="str">
        <f t="shared" si="34"/>
        <v/>
      </c>
      <c r="J97" s="17" t="str">
        <f t="shared" si="35"/>
        <v/>
      </c>
      <c r="K97" s="10"/>
    </row>
    <row r="98" spans="1:11" ht="19.5" customHeight="1">
      <c r="A98" s="9">
        <v>86</v>
      </c>
      <c r="B98" s="9" t="s">
        <v>191</v>
      </c>
      <c r="C98" s="10" t="s">
        <v>192</v>
      </c>
      <c r="D98" s="11">
        <v>176</v>
      </c>
      <c r="E98" s="12"/>
      <c r="F98" s="13" t="str">
        <f t="shared" si="32"/>
        <v/>
      </c>
      <c r="G98" s="14" t="str">
        <f t="shared" si="33"/>
        <v/>
      </c>
      <c r="H98" s="15"/>
      <c r="I98" s="16" t="str">
        <f t="shared" si="34"/>
        <v/>
      </c>
      <c r="J98" s="17" t="str">
        <f t="shared" si="35"/>
        <v/>
      </c>
      <c r="K98" s="10"/>
    </row>
    <row r="99" spans="1:11" ht="19.5" customHeight="1">
      <c r="A99" s="9">
        <v>87</v>
      </c>
      <c r="B99" s="9" t="s">
        <v>193</v>
      </c>
      <c r="C99" s="10" t="s">
        <v>194</v>
      </c>
      <c r="D99" s="11">
        <v>175</v>
      </c>
      <c r="E99" s="12"/>
      <c r="F99" s="13" t="str">
        <f t="shared" si="32"/>
        <v/>
      </c>
      <c r="G99" s="14" t="str">
        <f t="shared" si="33"/>
        <v/>
      </c>
      <c r="H99" s="15"/>
      <c r="I99" s="16" t="str">
        <f t="shared" si="34"/>
        <v/>
      </c>
      <c r="J99" s="17" t="str">
        <f t="shared" si="35"/>
        <v/>
      </c>
      <c r="K99" s="10"/>
    </row>
    <row r="100" spans="1:11" ht="19.5" customHeight="1">
      <c r="A100" s="9">
        <v>88</v>
      </c>
      <c r="B100" s="9" t="s">
        <v>195</v>
      </c>
      <c r="C100" s="10" t="s">
        <v>196</v>
      </c>
      <c r="D100" s="11">
        <v>176</v>
      </c>
      <c r="E100" s="12"/>
      <c r="F100" s="13" t="str">
        <f t="shared" si="32"/>
        <v/>
      </c>
      <c r="G100" s="14" t="str">
        <f t="shared" si="33"/>
        <v/>
      </c>
      <c r="H100" s="15"/>
      <c r="I100" s="16" t="str">
        <f t="shared" si="34"/>
        <v/>
      </c>
      <c r="J100" s="17" t="str">
        <f t="shared" si="35"/>
        <v/>
      </c>
      <c r="K100" s="10"/>
    </row>
    <row r="101" spans="1:11" ht="19.5" customHeight="1">
      <c r="A101" s="9">
        <v>89</v>
      </c>
      <c r="B101" s="9" t="s">
        <v>197</v>
      </c>
      <c r="C101" s="10" t="s">
        <v>198</v>
      </c>
      <c r="D101" s="11">
        <v>175</v>
      </c>
      <c r="E101" s="12"/>
      <c r="F101" s="13" t="str">
        <f t="shared" si="32"/>
        <v/>
      </c>
      <c r="G101" s="14" t="str">
        <f t="shared" si="33"/>
        <v/>
      </c>
      <c r="H101" s="15"/>
      <c r="I101" s="16" t="str">
        <f t="shared" si="34"/>
        <v/>
      </c>
      <c r="J101" s="17" t="str">
        <f t="shared" si="35"/>
        <v/>
      </c>
      <c r="K101" s="10"/>
    </row>
    <row r="102" spans="1:11" ht="19.5" customHeight="1">
      <c r="A102" s="9">
        <v>90</v>
      </c>
      <c r="B102" s="9" t="s">
        <v>199</v>
      </c>
      <c r="C102" s="10" t="s">
        <v>200</v>
      </c>
      <c r="D102" s="11">
        <v>175</v>
      </c>
      <c r="E102" s="12"/>
      <c r="F102" s="13" t="str">
        <f t="shared" si="32"/>
        <v/>
      </c>
      <c r="G102" s="14" t="str">
        <f t="shared" si="33"/>
        <v/>
      </c>
      <c r="H102" s="15"/>
      <c r="I102" s="16" t="str">
        <f t="shared" si="34"/>
        <v/>
      </c>
      <c r="J102" s="17" t="str">
        <f t="shared" si="35"/>
        <v/>
      </c>
      <c r="K102" s="10"/>
    </row>
    <row r="103" spans="1:11" ht="19.5" customHeight="1">
      <c r="A103" s="9">
        <v>91</v>
      </c>
      <c r="B103" s="9" t="s">
        <v>201</v>
      </c>
      <c r="C103" s="10" t="s">
        <v>202</v>
      </c>
      <c r="D103" s="11">
        <v>174</v>
      </c>
      <c r="E103" s="12"/>
      <c r="F103" s="13" t="str">
        <f t="shared" si="32"/>
        <v/>
      </c>
      <c r="G103" s="14" t="str">
        <f t="shared" si="33"/>
        <v/>
      </c>
      <c r="H103" s="15"/>
      <c r="I103" s="16" t="str">
        <f t="shared" si="34"/>
        <v/>
      </c>
      <c r="J103" s="17" t="str">
        <f t="shared" si="35"/>
        <v/>
      </c>
      <c r="K103" s="10"/>
    </row>
    <row r="104" spans="1:11" ht="19.5" customHeight="1">
      <c r="A104" s="9">
        <v>92</v>
      </c>
      <c r="B104" s="9" t="s">
        <v>203</v>
      </c>
      <c r="C104" s="10" t="s">
        <v>204</v>
      </c>
      <c r="D104" s="11">
        <v>174</v>
      </c>
      <c r="E104" s="12"/>
      <c r="F104" s="13" t="str">
        <f t="shared" si="32"/>
        <v/>
      </c>
      <c r="G104" s="14" t="str">
        <f t="shared" si="33"/>
        <v/>
      </c>
      <c r="H104" s="15"/>
      <c r="I104" s="16" t="str">
        <f t="shared" si="34"/>
        <v/>
      </c>
      <c r="J104" s="17" t="str">
        <f t="shared" si="35"/>
        <v/>
      </c>
      <c r="K104" s="10"/>
    </row>
    <row r="105" spans="1:11" ht="19.5" customHeight="1">
      <c r="A105" s="9">
        <v>93</v>
      </c>
      <c r="B105" s="9" t="s">
        <v>205</v>
      </c>
      <c r="C105" s="10" t="s">
        <v>206</v>
      </c>
      <c r="D105" s="11">
        <v>174</v>
      </c>
      <c r="E105" s="12"/>
      <c r="F105" s="13" t="str">
        <f t="shared" si="32"/>
        <v/>
      </c>
      <c r="G105" s="14" t="str">
        <f t="shared" si="33"/>
        <v/>
      </c>
      <c r="H105" s="15"/>
      <c r="I105" s="16" t="str">
        <f t="shared" si="34"/>
        <v/>
      </c>
      <c r="J105" s="17" t="str">
        <f t="shared" si="35"/>
        <v/>
      </c>
      <c r="K105" s="10"/>
    </row>
    <row r="106" spans="1:11" ht="19.5" customHeight="1">
      <c r="A106" s="2" t="s">
        <v>207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9.5" customHeight="1">
      <c r="A107" s="9">
        <v>94</v>
      </c>
      <c r="B107" s="9" t="s">
        <v>208</v>
      </c>
      <c r="C107" s="10" t="s">
        <v>209</v>
      </c>
      <c r="D107" s="11">
        <v>176</v>
      </c>
      <c r="E107" s="12"/>
      <c r="F107" s="13" t="str">
        <f t="shared" ref="F107:F117" si="36">IF(AND(ISNUMBER(D107), ISNUMBER(E107), D107&gt;0), E107/((D107/100)^2), "")</f>
        <v/>
      </c>
      <c r="G107" s="14" t="str">
        <f t="shared" ref="G107:G117" si="37">IF(F107="","",IF(F107&lt;18.5,"ผอมเกินไป",IF(F107&lt;23,"สมส่วน (ปกติ)",IF(F107&lt;25,"น้ำหนักเกิน (ท้วม)",IF(F107&lt;30,"อ้วนระดับ 1","อ้วนระดับ 2 (อ้วนมาก)")))))</f>
        <v/>
      </c>
      <c r="H107" s="15"/>
      <c r="I107" s="16" t="str">
        <f t="shared" ref="I107:I117" si="38">IF(AND(ISNUMBER(D107), ISNUMBER(H107), D107&gt;0), H107/((D107/100)^2), "")</f>
        <v/>
      </c>
      <c r="J107" s="17" t="str">
        <f t="shared" ref="J107:J117" si="39">IF(I107="","",IF(I107&lt;18.5,"ผอมเกินไป",IF(I107&lt;23,"สมส่วน (ปกติ)",IF(I107&lt;25,"น้ำหนักเกิน (ท้วม)",IF(I107&lt;30,"อ้วนระดับ 1","อ้วนระดับ 2 (อ้วนมาก)")))))</f>
        <v/>
      </c>
      <c r="K107" s="10"/>
    </row>
    <row r="108" spans="1:11" ht="19.5" customHeight="1">
      <c r="A108" s="9">
        <v>95</v>
      </c>
      <c r="B108" s="9" t="s">
        <v>210</v>
      </c>
      <c r="C108" s="10" t="s">
        <v>211</v>
      </c>
      <c r="D108" s="11">
        <v>176</v>
      </c>
      <c r="E108" s="12"/>
      <c r="F108" s="13" t="str">
        <f t="shared" si="36"/>
        <v/>
      </c>
      <c r="G108" s="14" t="str">
        <f t="shared" si="37"/>
        <v/>
      </c>
      <c r="H108" s="15"/>
      <c r="I108" s="16" t="str">
        <f t="shared" si="38"/>
        <v/>
      </c>
      <c r="J108" s="17" t="str">
        <f t="shared" si="39"/>
        <v/>
      </c>
      <c r="K108" s="10"/>
    </row>
    <row r="109" spans="1:11" ht="19.5" customHeight="1">
      <c r="A109" s="9">
        <v>96</v>
      </c>
      <c r="B109" s="9" t="s">
        <v>212</v>
      </c>
      <c r="C109" s="10" t="s">
        <v>213</v>
      </c>
      <c r="D109" s="11">
        <v>176</v>
      </c>
      <c r="E109" s="12"/>
      <c r="F109" s="13" t="str">
        <f t="shared" si="36"/>
        <v/>
      </c>
      <c r="G109" s="14" t="str">
        <f t="shared" si="37"/>
        <v/>
      </c>
      <c r="H109" s="15"/>
      <c r="I109" s="16" t="str">
        <f t="shared" si="38"/>
        <v/>
      </c>
      <c r="J109" s="17" t="str">
        <f t="shared" si="39"/>
        <v/>
      </c>
      <c r="K109" s="10"/>
    </row>
    <row r="110" spans="1:11" ht="19.5" customHeight="1">
      <c r="A110" s="9">
        <v>97</v>
      </c>
      <c r="B110" s="9" t="s">
        <v>214</v>
      </c>
      <c r="C110" s="10" t="s">
        <v>215</v>
      </c>
      <c r="D110" s="11">
        <v>175</v>
      </c>
      <c r="E110" s="12"/>
      <c r="F110" s="13" t="str">
        <f t="shared" si="36"/>
        <v/>
      </c>
      <c r="G110" s="14" t="str">
        <f t="shared" si="37"/>
        <v/>
      </c>
      <c r="H110" s="15"/>
      <c r="I110" s="16" t="str">
        <f t="shared" si="38"/>
        <v/>
      </c>
      <c r="J110" s="17" t="str">
        <f t="shared" si="39"/>
        <v/>
      </c>
      <c r="K110" s="10"/>
    </row>
    <row r="111" spans="1:11" ht="19.5" customHeight="1">
      <c r="A111" s="9">
        <v>98</v>
      </c>
      <c r="B111" s="9" t="s">
        <v>216</v>
      </c>
      <c r="C111" s="10" t="s">
        <v>217</v>
      </c>
      <c r="D111" s="11">
        <v>175</v>
      </c>
      <c r="E111" s="12"/>
      <c r="F111" s="13" t="str">
        <f t="shared" si="36"/>
        <v/>
      </c>
      <c r="G111" s="14" t="str">
        <f t="shared" si="37"/>
        <v/>
      </c>
      <c r="H111" s="15"/>
      <c r="I111" s="16" t="str">
        <f t="shared" si="38"/>
        <v/>
      </c>
      <c r="J111" s="17" t="str">
        <f t="shared" si="39"/>
        <v/>
      </c>
      <c r="K111" s="10"/>
    </row>
    <row r="112" spans="1:11" ht="19.5" customHeight="1">
      <c r="A112" s="9">
        <v>99</v>
      </c>
      <c r="B112" s="9" t="s">
        <v>218</v>
      </c>
      <c r="C112" s="10" t="s">
        <v>219</v>
      </c>
      <c r="D112" s="11">
        <v>175</v>
      </c>
      <c r="E112" s="12"/>
      <c r="F112" s="13" t="str">
        <f t="shared" si="36"/>
        <v/>
      </c>
      <c r="G112" s="14" t="str">
        <f t="shared" si="37"/>
        <v/>
      </c>
      <c r="H112" s="15"/>
      <c r="I112" s="16" t="str">
        <f t="shared" si="38"/>
        <v/>
      </c>
      <c r="J112" s="17" t="str">
        <f t="shared" si="39"/>
        <v/>
      </c>
      <c r="K112" s="10"/>
    </row>
    <row r="113" spans="1:11" ht="19.5" customHeight="1">
      <c r="A113" s="9">
        <v>100</v>
      </c>
      <c r="B113" s="9" t="s">
        <v>220</v>
      </c>
      <c r="C113" s="10" t="s">
        <v>221</v>
      </c>
      <c r="D113" s="11">
        <v>173</v>
      </c>
      <c r="E113" s="12"/>
      <c r="F113" s="13" t="str">
        <f t="shared" si="36"/>
        <v/>
      </c>
      <c r="G113" s="14" t="str">
        <f t="shared" si="37"/>
        <v/>
      </c>
      <c r="H113" s="15"/>
      <c r="I113" s="16" t="str">
        <f t="shared" si="38"/>
        <v/>
      </c>
      <c r="J113" s="17" t="str">
        <f t="shared" si="39"/>
        <v/>
      </c>
      <c r="K113" s="10"/>
    </row>
    <row r="114" spans="1:11" ht="19.5" customHeight="1">
      <c r="A114" s="9">
        <v>101</v>
      </c>
      <c r="B114" s="9" t="s">
        <v>222</v>
      </c>
      <c r="C114" s="10" t="s">
        <v>223</v>
      </c>
      <c r="D114" s="11">
        <v>174</v>
      </c>
      <c r="E114" s="12"/>
      <c r="F114" s="13" t="str">
        <f t="shared" si="36"/>
        <v/>
      </c>
      <c r="G114" s="14" t="str">
        <f t="shared" si="37"/>
        <v/>
      </c>
      <c r="H114" s="15"/>
      <c r="I114" s="16" t="str">
        <f t="shared" si="38"/>
        <v/>
      </c>
      <c r="J114" s="17" t="str">
        <f t="shared" si="39"/>
        <v/>
      </c>
      <c r="K114" s="10"/>
    </row>
    <row r="115" spans="1:11" ht="19.5" customHeight="1">
      <c r="A115" s="9">
        <v>102</v>
      </c>
      <c r="B115" s="9" t="s">
        <v>224</v>
      </c>
      <c r="C115" s="10" t="s">
        <v>225</v>
      </c>
      <c r="D115" s="11">
        <v>173</v>
      </c>
      <c r="E115" s="12"/>
      <c r="F115" s="13" t="str">
        <f t="shared" si="36"/>
        <v/>
      </c>
      <c r="G115" s="14" t="str">
        <f t="shared" si="37"/>
        <v/>
      </c>
      <c r="H115" s="15"/>
      <c r="I115" s="16" t="str">
        <f t="shared" si="38"/>
        <v/>
      </c>
      <c r="J115" s="17" t="str">
        <f t="shared" si="39"/>
        <v/>
      </c>
      <c r="K115" s="10"/>
    </row>
    <row r="116" spans="1:11" ht="19.5" customHeight="1">
      <c r="A116" s="9">
        <v>103</v>
      </c>
      <c r="B116" s="9" t="s">
        <v>226</v>
      </c>
      <c r="C116" s="10" t="s">
        <v>227</v>
      </c>
      <c r="D116" s="11">
        <v>174</v>
      </c>
      <c r="E116" s="12"/>
      <c r="F116" s="13" t="str">
        <f t="shared" si="36"/>
        <v/>
      </c>
      <c r="G116" s="14" t="str">
        <f t="shared" si="37"/>
        <v/>
      </c>
      <c r="H116" s="15"/>
      <c r="I116" s="16" t="str">
        <f t="shared" si="38"/>
        <v/>
      </c>
      <c r="J116" s="17" t="str">
        <f t="shared" si="39"/>
        <v/>
      </c>
      <c r="K116" s="10"/>
    </row>
    <row r="117" spans="1:11" ht="19.5" customHeight="1">
      <c r="A117" s="9">
        <v>104</v>
      </c>
      <c r="B117" s="9" t="s">
        <v>228</v>
      </c>
      <c r="C117" s="10" t="s">
        <v>229</v>
      </c>
      <c r="D117" s="11">
        <v>173</v>
      </c>
      <c r="E117" s="12"/>
      <c r="F117" s="13" t="str">
        <f t="shared" si="36"/>
        <v/>
      </c>
      <c r="G117" s="14" t="str">
        <f t="shared" si="37"/>
        <v/>
      </c>
      <c r="H117" s="15"/>
      <c r="I117" s="16" t="str">
        <f t="shared" si="38"/>
        <v/>
      </c>
      <c r="J117" s="17" t="str">
        <f t="shared" si="39"/>
        <v/>
      </c>
      <c r="K117" s="10"/>
    </row>
    <row r="118" spans="1:11" ht="19.5" customHeight="1">
      <c r="A118" s="2" t="s">
        <v>230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9.5" customHeight="1">
      <c r="A119" s="9">
        <v>105</v>
      </c>
      <c r="B119" s="9" t="s">
        <v>231</v>
      </c>
      <c r="C119" s="10" t="s">
        <v>232</v>
      </c>
      <c r="D119" s="11">
        <v>173</v>
      </c>
      <c r="E119" s="12"/>
      <c r="F119" s="13" t="str">
        <f t="shared" ref="F119:F129" si="40">IF(AND(ISNUMBER(D119), ISNUMBER(E119), D119&gt;0), E119/((D119/100)^2), "")</f>
        <v/>
      </c>
      <c r="G119" s="14" t="str">
        <f t="shared" ref="G119:G129" si="41">IF(F119="","",IF(F119&lt;18.5,"ผอมเกินไป",IF(F119&lt;23,"สมส่วน (ปกติ)",IF(F119&lt;25,"น้ำหนักเกิน (ท้วม)",IF(F119&lt;30,"อ้วนระดับ 1","อ้วนระดับ 2 (อ้วนมาก)")))))</f>
        <v/>
      </c>
      <c r="H119" s="15"/>
      <c r="I119" s="16" t="str">
        <f t="shared" ref="I119:I129" si="42">IF(AND(ISNUMBER(D119), ISNUMBER(H119), D119&gt;0), H119/((D119/100)^2), "")</f>
        <v/>
      </c>
      <c r="J119" s="17" t="str">
        <f t="shared" ref="J119:J129" si="43">IF(I119="","",IF(I119&lt;18.5,"ผอมเกินไป",IF(I119&lt;23,"สมส่วน (ปกติ)",IF(I119&lt;25,"น้ำหนักเกิน (ท้วม)",IF(I119&lt;30,"อ้วนระดับ 1","อ้วนระดับ 2 (อ้วนมาก)")))))</f>
        <v/>
      </c>
      <c r="K119" s="10"/>
    </row>
    <row r="120" spans="1:11" ht="19.5" customHeight="1">
      <c r="A120" s="9">
        <v>106</v>
      </c>
      <c r="B120" s="9" t="s">
        <v>233</v>
      </c>
      <c r="C120" s="10" t="s">
        <v>234</v>
      </c>
      <c r="D120" s="11">
        <v>173</v>
      </c>
      <c r="E120" s="12"/>
      <c r="F120" s="13" t="str">
        <f t="shared" si="40"/>
        <v/>
      </c>
      <c r="G120" s="14" t="str">
        <f t="shared" si="41"/>
        <v/>
      </c>
      <c r="H120" s="15"/>
      <c r="I120" s="16" t="str">
        <f t="shared" si="42"/>
        <v/>
      </c>
      <c r="J120" s="17" t="str">
        <f t="shared" si="43"/>
        <v/>
      </c>
      <c r="K120" s="10"/>
    </row>
    <row r="121" spans="1:11" ht="19.5" customHeight="1">
      <c r="A121" s="9">
        <v>107</v>
      </c>
      <c r="B121" s="9" t="s">
        <v>235</v>
      </c>
      <c r="C121" s="10" t="s">
        <v>236</v>
      </c>
      <c r="D121" s="11">
        <v>173</v>
      </c>
      <c r="E121" s="12"/>
      <c r="F121" s="13" t="str">
        <f t="shared" si="40"/>
        <v/>
      </c>
      <c r="G121" s="14" t="str">
        <f t="shared" si="41"/>
        <v/>
      </c>
      <c r="H121" s="15"/>
      <c r="I121" s="16" t="str">
        <f t="shared" si="42"/>
        <v/>
      </c>
      <c r="J121" s="17" t="str">
        <f t="shared" si="43"/>
        <v/>
      </c>
      <c r="K121" s="10"/>
    </row>
    <row r="122" spans="1:11" ht="19.5" customHeight="1">
      <c r="A122" s="9">
        <v>108</v>
      </c>
      <c r="B122" s="9" t="s">
        <v>237</v>
      </c>
      <c r="C122" s="10" t="s">
        <v>238</v>
      </c>
      <c r="D122" s="11">
        <v>173</v>
      </c>
      <c r="E122" s="12"/>
      <c r="F122" s="13" t="str">
        <f t="shared" si="40"/>
        <v/>
      </c>
      <c r="G122" s="14" t="str">
        <f t="shared" si="41"/>
        <v/>
      </c>
      <c r="H122" s="15"/>
      <c r="I122" s="16" t="str">
        <f t="shared" si="42"/>
        <v/>
      </c>
      <c r="J122" s="17" t="str">
        <f t="shared" si="43"/>
        <v/>
      </c>
      <c r="K122" s="10"/>
    </row>
    <row r="123" spans="1:11" ht="19.5" customHeight="1">
      <c r="A123" s="9">
        <v>109</v>
      </c>
      <c r="B123" s="9" t="s">
        <v>239</v>
      </c>
      <c r="C123" s="10" t="s">
        <v>240</v>
      </c>
      <c r="D123" s="11">
        <v>173</v>
      </c>
      <c r="E123" s="12"/>
      <c r="F123" s="13" t="str">
        <f t="shared" si="40"/>
        <v/>
      </c>
      <c r="G123" s="14" t="str">
        <f t="shared" si="41"/>
        <v/>
      </c>
      <c r="H123" s="15"/>
      <c r="I123" s="16" t="str">
        <f t="shared" si="42"/>
        <v/>
      </c>
      <c r="J123" s="17" t="str">
        <f t="shared" si="43"/>
        <v/>
      </c>
      <c r="K123" s="10"/>
    </row>
    <row r="124" spans="1:11" ht="19.5" customHeight="1">
      <c r="A124" s="9">
        <v>110</v>
      </c>
      <c r="B124" s="9" t="s">
        <v>241</v>
      </c>
      <c r="C124" s="10" t="s">
        <v>242</v>
      </c>
      <c r="D124" s="11">
        <v>173</v>
      </c>
      <c r="E124" s="12"/>
      <c r="F124" s="13" t="str">
        <f t="shared" si="40"/>
        <v/>
      </c>
      <c r="G124" s="14" t="str">
        <f t="shared" si="41"/>
        <v/>
      </c>
      <c r="H124" s="15"/>
      <c r="I124" s="16" t="str">
        <f t="shared" si="42"/>
        <v/>
      </c>
      <c r="J124" s="17" t="str">
        <f t="shared" si="43"/>
        <v/>
      </c>
      <c r="K124" s="10"/>
    </row>
    <row r="125" spans="1:11" ht="19.5" customHeight="1">
      <c r="A125" s="9">
        <v>111</v>
      </c>
      <c r="B125" s="9" t="s">
        <v>243</v>
      </c>
      <c r="C125" s="10" t="s">
        <v>244</v>
      </c>
      <c r="D125" s="11">
        <v>173</v>
      </c>
      <c r="E125" s="12"/>
      <c r="F125" s="13" t="str">
        <f t="shared" si="40"/>
        <v/>
      </c>
      <c r="G125" s="14" t="str">
        <f t="shared" si="41"/>
        <v/>
      </c>
      <c r="H125" s="15"/>
      <c r="I125" s="16" t="str">
        <f t="shared" si="42"/>
        <v/>
      </c>
      <c r="J125" s="17" t="str">
        <f t="shared" si="43"/>
        <v/>
      </c>
      <c r="K125" s="10"/>
    </row>
    <row r="126" spans="1:11" ht="19.5" customHeight="1">
      <c r="A126" s="9">
        <v>112</v>
      </c>
      <c r="B126" s="9" t="s">
        <v>245</v>
      </c>
      <c r="C126" s="10" t="s">
        <v>246</v>
      </c>
      <c r="D126" s="11">
        <v>172</v>
      </c>
      <c r="E126" s="12"/>
      <c r="F126" s="13" t="str">
        <f t="shared" si="40"/>
        <v/>
      </c>
      <c r="G126" s="14" t="str">
        <f t="shared" si="41"/>
        <v/>
      </c>
      <c r="H126" s="15"/>
      <c r="I126" s="16" t="str">
        <f t="shared" si="42"/>
        <v/>
      </c>
      <c r="J126" s="17" t="str">
        <f t="shared" si="43"/>
        <v/>
      </c>
      <c r="K126" s="10"/>
    </row>
    <row r="127" spans="1:11" ht="19.5" customHeight="1">
      <c r="A127" s="9">
        <v>113</v>
      </c>
      <c r="B127" s="9" t="s">
        <v>247</v>
      </c>
      <c r="C127" s="10" t="s">
        <v>248</v>
      </c>
      <c r="D127" s="11">
        <v>172</v>
      </c>
      <c r="E127" s="12"/>
      <c r="F127" s="13" t="str">
        <f t="shared" si="40"/>
        <v/>
      </c>
      <c r="G127" s="14" t="str">
        <f t="shared" si="41"/>
        <v/>
      </c>
      <c r="H127" s="15"/>
      <c r="I127" s="16" t="str">
        <f t="shared" si="42"/>
        <v/>
      </c>
      <c r="J127" s="17" t="str">
        <f t="shared" si="43"/>
        <v/>
      </c>
      <c r="K127" s="10"/>
    </row>
    <row r="128" spans="1:11" ht="19.5" customHeight="1">
      <c r="A128" s="9">
        <v>114</v>
      </c>
      <c r="B128" s="9" t="s">
        <v>249</v>
      </c>
      <c r="C128" s="10" t="s">
        <v>250</v>
      </c>
      <c r="D128" s="11">
        <v>173</v>
      </c>
      <c r="E128" s="12"/>
      <c r="F128" s="13" t="str">
        <f t="shared" si="40"/>
        <v/>
      </c>
      <c r="G128" s="14" t="str">
        <f t="shared" si="41"/>
        <v/>
      </c>
      <c r="H128" s="15"/>
      <c r="I128" s="16" t="str">
        <f t="shared" si="42"/>
        <v/>
      </c>
      <c r="J128" s="17" t="str">
        <f t="shared" si="43"/>
        <v/>
      </c>
      <c r="K128" s="10"/>
    </row>
    <row r="129" spans="1:11" ht="19.5" customHeight="1">
      <c r="A129" s="9">
        <v>115</v>
      </c>
      <c r="B129" s="9" t="s">
        <v>251</v>
      </c>
      <c r="C129" s="10" t="s">
        <v>252</v>
      </c>
      <c r="D129" s="11">
        <v>172</v>
      </c>
      <c r="E129" s="12"/>
      <c r="F129" s="13" t="str">
        <f t="shared" si="40"/>
        <v/>
      </c>
      <c r="G129" s="14" t="str">
        <f t="shared" si="41"/>
        <v/>
      </c>
      <c r="H129" s="15"/>
      <c r="I129" s="16" t="str">
        <f t="shared" si="42"/>
        <v/>
      </c>
      <c r="J129" s="17" t="str">
        <f t="shared" si="43"/>
        <v/>
      </c>
      <c r="K129" s="10"/>
    </row>
    <row r="130" spans="1:11" ht="19.5" customHeight="1">
      <c r="A130" s="2" t="s">
        <v>253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9.5" customHeight="1">
      <c r="A131" s="9">
        <v>116</v>
      </c>
      <c r="B131" s="9" t="s">
        <v>254</v>
      </c>
      <c r="C131" s="10" t="s">
        <v>255</v>
      </c>
      <c r="D131" s="11">
        <v>172</v>
      </c>
      <c r="E131" s="12"/>
      <c r="F131" s="13" t="str">
        <f t="shared" ref="F131:F140" si="44">IF(AND(ISNUMBER(D131), ISNUMBER(E131), D131&gt;0), E131/((D131/100)^2), "")</f>
        <v/>
      </c>
      <c r="G131" s="14" t="str">
        <f t="shared" ref="G131:G140" si="45">IF(F131="","",IF(F131&lt;18.5,"ผอมเกินไป",IF(F131&lt;23,"สมส่วน (ปกติ)",IF(F131&lt;25,"น้ำหนักเกิน (ท้วม)",IF(F131&lt;30,"อ้วนระดับ 1","อ้วนระดับ 2 (อ้วนมาก)")))))</f>
        <v/>
      </c>
      <c r="H131" s="15"/>
      <c r="I131" s="16" t="str">
        <f t="shared" ref="I131:I140" si="46">IF(AND(ISNUMBER(D131), ISNUMBER(H131), D131&gt;0), H131/((D131/100)^2), "")</f>
        <v/>
      </c>
      <c r="J131" s="17" t="str">
        <f t="shared" ref="J131:J140" si="47">IF(I131="","",IF(I131&lt;18.5,"ผอมเกินไป",IF(I131&lt;23,"สมส่วน (ปกติ)",IF(I131&lt;25,"น้ำหนักเกิน (ท้วม)",IF(I131&lt;30,"อ้วนระดับ 1","อ้วนระดับ 2 (อ้วนมาก)")))))</f>
        <v/>
      </c>
      <c r="K131" s="10"/>
    </row>
    <row r="132" spans="1:11" ht="19.5" customHeight="1">
      <c r="A132" s="9">
        <v>117</v>
      </c>
      <c r="B132" s="9" t="s">
        <v>256</v>
      </c>
      <c r="C132" s="10" t="s">
        <v>257</v>
      </c>
      <c r="D132" s="11">
        <v>173</v>
      </c>
      <c r="E132" s="12"/>
      <c r="F132" s="13" t="str">
        <f t="shared" si="44"/>
        <v/>
      </c>
      <c r="G132" s="14" t="str">
        <f t="shared" si="45"/>
        <v/>
      </c>
      <c r="H132" s="15"/>
      <c r="I132" s="16" t="str">
        <f t="shared" si="46"/>
        <v/>
      </c>
      <c r="J132" s="17" t="str">
        <f t="shared" si="47"/>
        <v/>
      </c>
      <c r="K132" s="10"/>
    </row>
    <row r="133" spans="1:11" ht="19.5" customHeight="1">
      <c r="A133" s="9">
        <v>118</v>
      </c>
      <c r="B133" s="9" t="s">
        <v>258</v>
      </c>
      <c r="C133" s="10" t="s">
        <v>259</v>
      </c>
      <c r="D133" s="11">
        <v>171</v>
      </c>
      <c r="E133" s="12"/>
      <c r="F133" s="13" t="str">
        <f t="shared" si="44"/>
        <v/>
      </c>
      <c r="G133" s="14" t="str">
        <f t="shared" si="45"/>
        <v/>
      </c>
      <c r="H133" s="15"/>
      <c r="I133" s="16" t="str">
        <f t="shared" si="46"/>
        <v/>
      </c>
      <c r="J133" s="17" t="str">
        <f t="shared" si="47"/>
        <v/>
      </c>
      <c r="K133" s="10"/>
    </row>
    <row r="134" spans="1:11" ht="19.5" customHeight="1">
      <c r="A134" s="9">
        <v>119</v>
      </c>
      <c r="B134" s="9" t="s">
        <v>260</v>
      </c>
      <c r="C134" s="10" t="s">
        <v>261</v>
      </c>
      <c r="D134" s="11">
        <v>172</v>
      </c>
      <c r="E134" s="12"/>
      <c r="F134" s="13" t="str">
        <f t="shared" si="44"/>
        <v/>
      </c>
      <c r="G134" s="14" t="str">
        <f t="shared" si="45"/>
        <v/>
      </c>
      <c r="H134" s="15"/>
      <c r="I134" s="16" t="str">
        <f t="shared" si="46"/>
        <v/>
      </c>
      <c r="J134" s="17" t="str">
        <f t="shared" si="47"/>
        <v/>
      </c>
      <c r="K134" s="10"/>
    </row>
    <row r="135" spans="1:11" ht="19.5" customHeight="1">
      <c r="A135" s="9">
        <v>120</v>
      </c>
      <c r="B135" s="9" t="s">
        <v>262</v>
      </c>
      <c r="C135" s="10" t="s">
        <v>263</v>
      </c>
      <c r="D135" s="11">
        <v>173</v>
      </c>
      <c r="E135" s="12"/>
      <c r="F135" s="13" t="str">
        <f t="shared" si="44"/>
        <v/>
      </c>
      <c r="G135" s="14" t="str">
        <f t="shared" si="45"/>
        <v/>
      </c>
      <c r="H135" s="15"/>
      <c r="I135" s="16" t="str">
        <f t="shared" si="46"/>
        <v/>
      </c>
      <c r="J135" s="17" t="str">
        <f t="shared" si="47"/>
        <v/>
      </c>
      <c r="K135" s="10"/>
    </row>
    <row r="136" spans="1:11" ht="19.5" customHeight="1">
      <c r="A136" s="9">
        <v>121</v>
      </c>
      <c r="B136" s="9" t="s">
        <v>264</v>
      </c>
      <c r="C136" s="10" t="s">
        <v>265</v>
      </c>
      <c r="D136" s="11">
        <v>172</v>
      </c>
      <c r="E136" s="12"/>
      <c r="F136" s="13" t="str">
        <f t="shared" si="44"/>
        <v/>
      </c>
      <c r="G136" s="14" t="str">
        <f t="shared" si="45"/>
        <v/>
      </c>
      <c r="H136" s="15"/>
      <c r="I136" s="16" t="str">
        <f t="shared" si="46"/>
        <v/>
      </c>
      <c r="J136" s="17" t="str">
        <f t="shared" si="47"/>
        <v/>
      </c>
      <c r="K136" s="10"/>
    </row>
    <row r="137" spans="1:11" ht="19.5" customHeight="1">
      <c r="A137" s="9">
        <v>122</v>
      </c>
      <c r="B137" s="9" t="s">
        <v>266</v>
      </c>
      <c r="C137" s="10" t="s">
        <v>267</v>
      </c>
      <c r="D137" s="11">
        <v>173</v>
      </c>
      <c r="E137" s="12"/>
      <c r="F137" s="13" t="str">
        <f t="shared" si="44"/>
        <v/>
      </c>
      <c r="G137" s="14" t="str">
        <f t="shared" si="45"/>
        <v/>
      </c>
      <c r="H137" s="15"/>
      <c r="I137" s="16" t="str">
        <f t="shared" si="46"/>
        <v/>
      </c>
      <c r="J137" s="17" t="str">
        <f t="shared" si="47"/>
        <v/>
      </c>
      <c r="K137" s="10"/>
    </row>
    <row r="138" spans="1:11" ht="19.5" customHeight="1">
      <c r="A138" s="9">
        <v>123</v>
      </c>
      <c r="B138" s="9" t="s">
        <v>268</v>
      </c>
      <c r="C138" s="10" t="s">
        <v>269</v>
      </c>
      <c r="D138" s="11">
        <v>173</v>
      </c>
      <c r="E138" s="12"/>
      <c r="F138" s="13" t="str">
        <f t="shared" si="44"/>
        <v/>
      </c>
      <c r="G138" s="14" t="str">
        <f t="shared" si="45"/>
        <v/>
      </c>
      <c r="H138" s="15"/>
      <c r="I138" s="16" t="str">
        <f t="shared" si="46"/>
        <v/>
      </c>
      <c r="J138" s="17" t="str">
        <f t="shared" si="47"/>
        <v/>
      </c>
      <c r="K138" s="10"/>
    </row>
    <row r="139" spans="1:11" ht="19.5" customHeight="1">
      <c r="A139" s="9">
        <v>124</v>
      </c>
      <c r="B139" s="9" t="s">
        <v>270</v>
      </c>
      <c r="C139" s="10" t="s">
        <v>271</v>
      </c>
      <c r="D139" s="11">
        <v>172</v>
      </c>
      <c r="E139" s="12"/>
      <c r="F139" s="13" t="str">
        <f t="shared" si="44"/>
        <v/>
      </c>
      <c r="G139" s="14" t="str">
        <f t="shared" si="45"/>
        <v/>
      </c>
      <c r="H139" s="15"/>
      <c r="I139" s="16" t="str">
        <f t="shared" si="46"/>
        <v/>
      </c>
      <c r="J139" s="17" t="str">
        <f t="shared" si="47"/>
        <v/>
      </c>
      <c r="K139" s="10"/>
    </row>
    <row r="140" spans="1:11" ht="19.5" customHeight="1">
      <c r="A140" s="9">
        <v>125</v>
      </c>
      <c r="B140" s="9" t="s">
        <v>272</v>
      </c>
      <c r="C140" s="10" t="s">
        <v>273</v>
      </c>
      <c r="D140" s="11">
        <v>172</v>
      </c>
      <c r="E140" s="12"/>
      <c r="F140" s="13" t="str">
        <f t="shared" si="44"/>
        <v/>
      </c>
      <c r="G140" s="14" t="str">
        <f t="shared" si="45"/>
        <v/>
      </c>
      <c r="H140" s="15"/>
      <c r="I140" s="16" t="str">
        <f t="shared" si="46"/>
        <v/>
      </c>
      <c r="J140" s="17" t="str">
        <f t="shared" si="47"/>
        <v/>
      </c>
      <c r="K140" s="10"/>
    </row>
    <row r="141" spans="1:11" ht="19.5" customHeight="1">
      <c r="A141" s="2" t="s">
        <v>274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9.5" customHeight="1">
      <c r="A142" s="9">
        <v>126</v>
      </c>
      <c r="B142" s="9" t="s">
        <v>275</v>
      </c>
      <c r="C142" s="10" t="s">
        <v>276</v>
      </c>
      <c r="D142" s="11">
        <v>172</v>
      </c>
      <c r="E142" s="12"/>
      <c r="F142" s="13" t="str">
        <f t="shared" ref="F142:F151" si="48">IF(AND(ISNUMBER(D142), ISNUMBER(E142), D142&gt;0), E142/((D142/100)^2), "")</f>
        <v/>
      </c>
      <c r="G142" s="14" t="str">
        <f t="shared" ref="G142:G151" si="49">IF(F142="","",IF(F142&lt;18.5,"ผอมเกินไป",IF(F142&lt;23,"สมส่วน (ปกติ)",IF(F142&lt;25,"น้ำหนักเกิน (ท้วม)",IF(F142&lt;30,"อ้วนระดับ 1","อ้วนระดับ 2 (อ้วนมาก)")))))</f>
        <v/>
      </c>
      <c r="H142" s="15"/>
      <c r="I142" s="16" t="str">
        <f t="shared" ref="I142:I151" si="50">IF(AND(ISNUMBER(D142), ISNUMBER(H142), D142&gt;0), H142/((D142/100)^2), "")</f>
        <v/>
      </c>
      <c r="J142" s="17" t="str">
        <f t="shared" ref="J142:J151" si="51">IF(I142="","",IF(I142&lt;18.5,"ผอมเกินไป",IF(I142&lt;23,"สมส่วน (ปกติ)",IF(I142&lt;25,"น้ำหนักเกิน (ท้วม)",IF(I142&lt;30,"อ้วนระดับ 1","อ้วนระดับ 2 (อ้วนมาก)")))))</f>
        <v/>
      </c>
      <c r="K142" s="10"/>
    </row>
    <row r="143" spans="1:11" ht="19.5" customHeight="1">
      <c r="A143" s="9">
        <v>127</v>
      </c>
      <c r="B143" s="9" t="s">
        <v>277</v>
      </c>
      <c r="C143" s="10" t="s">
        <v>278</v>
      </c>
      <c r="D143" s="11">
        <v>172</v>
      </c>
      <c r="E143" s="12"/>
      <c r="F143" s="13" t="str">
        <f t="shared" si="48"/>
        <v/>
      </c>
      <c r="G143" s="14" t="str">
        <f t="shared" si="49"/>
        <v/>
      </c>
      <c r="H143" s="15"/>
      <c r="I143" s="16" t="str">
        <f t="shared" si="50"/>
        <v/>
      </c>
      <c r="J143" s="17" t="str">
        <f t="shared" si="51"/>
        <v/>
      </c>
      <c r="K143" s="10"/>
    </row>
    <row r="144" spans="1:11" ht="19.5" customHeight="1">
      <c r="A144" s="9">
        <v>128</v>
      </c>
      <c r="B144" s="9" t="s">
        <v>279</v>
      </c>
      <c r="C144" s="10" t="s">
        <v>280</v>
      </c>
      <c r="D144" s="11">
        <v>172</v>
      </c>
      <c r="E144" s="12"/>
      <c r="F144" s="13" t="str">
        <f t="shared" si="48"/>
        <v/>
      </c>
      <c r="G144" s="14" t="str">
        <f t="shared" si="49"/>
        <v/>
      </c>
      <c r="H144" s="15"/>
      <c r="I144" s="16" t="str">
        <f t="shared" si="50"/>
        <v/>
      </c>
      <c r="J144" s="17" t="str">
        <f t="shared" si="51"/>
        <v/>
      </c>
      <c r="K144" s="10"/>
    </row>
    <row r="145" spans="1:11" ht="19.5" customHeight="1">
      <c r="A145" s="9">
        <v>129</v>
      </c>
      <c r="B145" s="9" t="s">
        <v>281</v>
      </c>
      <c r="C145" s="10" t="s">
        <v>282</v>
      </c>
      <c r="D145" s="11">
        <v>171</v>
      </c>
      <c r="E145" s="12"/>
      <c r="F145" s="13" t="str">
        <f t="shared" si="48"/>
        <v/>
      </c>
      <c r="G145" s="14" t="str">
        <f t="shared" si="49"/>
        <v/>
      </c>
      <c r="H145" s="15"/>
      <c r="I145" s="16" t="str">
        <f t="shared" si="50"/>
        <v/>
      </c>
      <c r="J145" s="17" t="str">
        <f t="shared" si="51"/>
        <v/>
      </c>
      <c r="K145" s="10"/>
    </row>
    <row r="146" spans="1:11" ht="19.5" customHeight="1">
      <c r="A146" s="9">
        <v>130</v>
      </c>
      <c r="B146" s="9" t="s">
        <v>283</v>
      </c>
      <c r="C146" s="10" t="s">
        <v>284</v>
      </c>
      <c r="D146" s="11">
        <v>171</v>
      </c>
      <c r="E146" s="12"/>
      <c r="F146" s="13" t="str">
        <f t="shared" si="48"/>
        <v/>
      </c>
      <c r="G146" s="14" t="str">
        <f t="shared" si="49"/>
        <v/>
      </c>
      <c r="H146" s="15"/>
      <c r="I146" s="16" t="str">
        <f t="shared" si="50"/>
        <v/>
      </c>
      <c r="J146" s="17" t="str">
        <f t="shared" si="51"/>
        <v/>
      </c>
      <c r="K146" s="10"/>
    </row>
    <row r="147" spans="1:11" ht="19.5" customHeight="1">
      <c r="A147" s="9">
        <v>131</v>
      </c>
      <c r="B147" s="9" t="s">
        <v>285</v>
      </c>
      <c r="C147" s="10" t="s">
        <v>286</v>
      </c>
      <c r="D147" s="11">
        <v>171</v>
      </c>
      <c r="E147" s="12"/>
      <c r="F147" s="13" t="str">
        <f t="shared" si="48"/>
        <v/>
      </c>
      <c r="G147" s="14" t="str">
        <f t="shared" si="49"/>
        <v/>
      </c>
      <c r="H147" s="15"/>
      <c r="I147" s="16" t="str">
        <f t="shared" si="50"/>
        <v/>
      </c>
      <c r="J147" s="17" t="str">
        <f t="shared" si="51"/>
        <v/>
      </c>
      <c r="K147" s="10"/>
    </row>
    <row r="148" spans="1:11" ht="19.5" customHeight="1">
      <c r="A148" s="9">
        <v>132</v>
      </c>
      <c r="B148" s="9" t="s">
        <v>287</v>
      </c>
      <c r="C148" s="10" t="s">
        <v>288</v>
      </c>
      <c r="D148" s="11">
        <v>172</v>
      </c>
      <c r="E148" s="12"/>
      <c r="F148" s="13" t="str">
        <f t="shared" si="48"/>
        <v/>
      </c>
      <c r="G148" s="14" t="str">
        <f t="shared" si="49"/>
        <v/>
      </c>
      <c r="H148" s="15"/>
      <c r="I148" s="16" t="str">
        <f t="shared" si="50"/>
        <v/>
      </c>
      <c r="J148" s="17" t="str">
        <f t="shared" si="51"/>
        <v/>
      </c>
      <c r="K148" s="10"/>
    </row>
    <row r="149" spans="1:11" ht="19.5" customHeight="1">
      <c r="A149" s="9">
        <v>133</v>
      </c>
      <c r="B149" s="9" t="s">
        <v>289</v>
      </c>
      <c r="C149" s="10" t="s">
        <v>290</v>
      </c>
      <c r="D149" s="11">
        <v>171</v>
      </c>
      <c r="E149" s="12"/>
      <c r="F149" s="13" t="str">
        <f t="shared" si="48"/>
        <v/>
      </c>
      <c r="G149" s="14" t="str">
        <f t="shared" si="49"/>
        <v/>
      </c>
      <c r="H149" s="15"/>
      <c r="I149" s="16" t="str">
        <f t="shared" si="50"/>
        <v/>
      </c>
      <c r="J149" s="17" t="str">
        <f t="shared" si="51"/>
        <v/>
      </c>
      <c r="K149" s="10"/>
    </row>
    <row r="150" spans="1:11" ht="19.5" customHeight="1">
      <c r="A150" s="9">
        <v>134</v>
      </c>
      <c r="B150" s="9" t="s">
        <v>291</v>
      </c>
      <c r="C150" s="10" t="s">
        <v>292</v>
      </c>
      <c r="D150" s="11">
        <v>171</v>
      </c>
      <c r="E150" s="12"/>
      <c r="F150" s="13" t="str">
        <f t="shared" si="48"/>
        <v/>
      </c>
      <c r="G150" s="14" t="str">
        <f t="shared" si="49"/>
        <v/>
      </c>
      <c r="H150" s="15"/>
      <c r="I150" s="16" t="str">
        <f t="shared" si="50"/>
        <v/>
      </c>
      <c r="J150" s="17" t="str">
        <f t="shared" si="51"/>
        <v/>
      </c>
      <c r="K150" s="10"/>
    </row>
    <row r="151" spans="1:11" ht="19.5" customHeight="1">
      <c r="A151" s="9">
        <v>135</v>
      </c>
      <c r="B151" s="9" t="s">
        <v>293</v>
      </c>
      <c r="C151" s="10" t="s">
        <v>294</v>
      </c>
      <c r="D151" s="11">
        <v>171</v>
      </c>
      <c r="E151" s="12"/>
      <c r="F151" s="13" t="str">
        <f t="shared" si="48"/>
        <v/>
      </c>
      <c r="G151" s="14" t="str">
        <f t="shared" si="49"/>
        <v/>
      </c>
      <c r="H151" s="15"/>
      <c r="I151" s="16" t="str">
        <f t="shared" si="50"/>
        <v/>
      </c>
      <c r="J151" s="17" t="str">
        <f t="shared" si="51"/>
        <v/>
      </c>
      <c r="K151" s="10"/>
    </row>
    <row r="152" spans="1:11" ht="19.5" customHeight="1">
      <c r="A152" s="2" t="s">
        <v>295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9.5" customHeight="1">
      <c r="A153" s="9">
        <v>136</v>
      </c>
      <c r="B153" s="9" t="s">
        <v>296</v>
      </c>
      <c r="C153" s="10" t="s">
        <v>297</v>
      </c>
      <c r="D153" s="11">
        <v>171</v>
      </c>
      <c r="E153" s="12"/>
      <c r="F153" s="13" t="str">
        <f t="shared" ref="F153:F162" si="52">IF(AND(ISNUMBER(D153), ISNUMBER(E153), D153&gt;0), E153/((D153/100)^2), "")</f>
        <v/>
      </c>
      <c r="G153" s="14" t="str">
        <f t="shared" ref="G153:G162" si="53">IF(F153="","",IF(F153&lt;18.5,"ผอมเกินไป",IF(F153&lt;23,"สมส่วน (ปกติ)",IF(F153&lt;25,"น้ำหนักเกิน (ท้วม)",IF(F153&lt;30,"อ้วนระดับ 1","อ้วนระดับ 2 (อ้วนมาก)")))))</f>
        <v/>
      </c>
      <c r="H153" s="15"/>
      <c r="I153" s="16" t="str">
        <f t="shared" ref="I153:I162" si="54">IF(AND(ISNUMBER(D153), ISNUMBER(H153), D153&gt;0), H153/((D153/100)^2), "")</f>
        <v/>
      </c>
      <c r="J153" s="17" t="str">
        <f t="shared" ref="J153:J162" si="55">IF(I153="","",IF(I153&lt;18.5,"ผอมเกินไป",IF(I153&lt;23,"สมส่วน (ปกติ)",IF(I153&lt;25,"น้ำหนักเกิน (ท้วม)",IF(I153&lt;30,"อ้วนระดับ 1","อ้วนระดับ 2 (อ้วนมาก)")))))</f>
        <v/>
      </c>
      <c r="K153" s="10"/>
    </row>
    <row r="154" spans="1:11" ht="19.5" customHeight="1">
      <c r="A154" s="9">
        <v>137</v>
      </c>
      <c r="B154" s="9" t="s">
        <v>298</v>
      </c>
      <c r="C154" s="10" t="s">
        <v>299</v>
      </c>
      <c r="D154" s="11">
        <v>172</v>
      </c>
      <c r="E154" s="12"/>
      <c r="F154" s="13" t="str">
        <f t="shared" si="52"/>
        <v/>
      </c>
      <c r="G154" s="14" t="str">
        <f t="shared" si="53"/>
        <v/>
      </c>
      <c r="H154" s="15"/>
      <c r="I154" s="16" t="str">
        <f t="shared" si="54"/>
        <v/>
      </c>
      <c r="J154" s="17" t="str">
        <f t="shared" si="55"/>
        <v/>
      </c>
      <c r="K154" s="10"/>
    </row>
    <row r="155" spans="1:11" ht="19.5" customHeight="1">
      <c r="A155" s="9">
        <v>138</v>
      </c>
      <c r="B155" s="9" t="s">
        <v>300</v>
      </c>
      <c r="C155" s="10" t="s">
        <v>301</v>
      </c>
      <c r="D155" s="11">
        <v>170</v>
      </c>
      <c r="E155" s="12"/>
      <c r="F155" s="13" t="str">
        <f t="shared" si="52"/>
        <v/>
      </c>
      <c r="G155" s="14" t="str">
        <f t="shared" si="53"/>
        <v/>
      </c>
      <c r="H155" s="15"/>
      <c r="I155" s="16" t="str">
        <f t="shared" si="54"/>
        <v/>
      </c>
      <c r="J155" s="17" t="str">
        <f t="shared" si="55"/>
        <v/>
      </c>
      <c r="K155" s="10"/>
    </row>
    <row r="156" spans="1:11" ht="19.5" customHeight="1">
      <c r="A156" s="9">
        <v>139</v>
      </c>
      <c r="B156" s="9" t="s">
        <v>302</v>
      </c>
      <c r="C156" s="10" t="s">
        <v>303</v>
      </c>
      <c r="D156" s="11">
        <v>171</v>
      </c>
      <c r="E156" s="12"/>
      <c r="F156" s="13" t="str">
        <f t="shared" si="52"/>
        <v/>
      </c>
      <c r="G156" s="14" t="str">
        <f t="shared" si="53"/>
        <v/>
      </c>
      <c r="H156" s="15"/>
      <c r="I156" s="16" t="str">
        <f t="shared" si="54"/>
        <v/>
      </c>
      <c r="J156" s="17" t="str">
        <f t="shared" si="55"/>
        <v/>
      </c>
      <c r="K156" s="10"/>
    </row>
    <row r="157" spans="1:11" ht="19.5" customHeight="1">
      <c r="A157" s="9">
        <v>140</v>
      </c>
      <c r="B157" s="9" t="s">
        <v>304</v>
      </c>
      <c r="C157" s="10" t="s">
        <v>305</v>
      </c>
      <c r="D157" s="11">
        <v>170</v>
      </c>
      <c r="E157" s="12"/>
      <c r="F157" s="13" t="str">
        <f t="shared" si="52"/>
        <v/>
      </c>
      <c r="G157" s="14" t="str">
        <f t="shared" si="53"/>
        <v/>
      </c>
      <c r="H157" s="15"/>
      <c r="I157" s="16" t="str">
        <f t="shared" si="54"/>
        <v/>
      </c>
      <c r="J157" s="17" t="str">
        <f t="shared" si="55"/>
        <v/>
      </c>
      <c r="K157" s="10"/>
    </row>
    <row r="158" spans="1:11" ht="19.5" customHeight="1">
      <c r="A158" s="9">
        <v>141</v>
      </c>
      <c r="B158" s="9" t="s">
        <v>306</v>
      </c>
      <c r="C158" s="10" t="s">
        <v>307</v>
      </c>
      <c r="D158" s="11">
        <v>170</v>
      </c>
      <c r="E158" s="12"/>
      <c r="F158" s="13" t="str">
        <f t="shared" si="52"/>
        <v/>
      </c>
      <c r="G158" s="14" t="str">
        <f t="shared" si="53"/>
        <v/>
      </c>
      <c r="H158" s="15"/>
      <c r="I158" s="16" t="str">
        <f t="shared" si="54"/>
        <v/>
      </c>
      <c r="J158" s="17" t="str">
        <f t="shared" si="55"/>
        <v/>
      </c>
      <c r="K158" s="10"/>
    </row>
    <row r="159" spans="1:11" ht="19.5" customHeight="1">
      <c r="A159" s="9">
        <v>142</v>
      </c>
      <c r="B159" s="9" t="s">
        <v>308</v>
      </c>
      <c r="C159" s="10" t="s">
        <v>309</v>
      </c>
      <c r="D159" s="11">
        <v>171</v>
      </c>
      <c r="E159" s="12"/>
      <c r="F159" s="13" t="str">
        <f t="shared" si="52"/>
        <v/>
      </c>
      <c r="G159" s="14" t="str">
        <f t="shared" si="53"/>
        <v/>
      </c>
      <c r="H159" s="15"/>
      <c r="I159" s="16" t="str">
        <f t="shared" si="54"/>
        <v/>
      </c>
      <c r="J159" s="17" t="str">
        <f t="shared" si="55"/>
        <v/>
      </c>
      <c r="K159" s="10"/>
    </row>
    <row r="160" spans="1:11" ht="19.5" customHeight="1">
      <c r="A160" s="9">
        <v>143</v>
      </c>
      <c r="B160" s="9" t="s">
        <v>310</v>
      </c>
      <c r="C160" s="10" t="s">
        <v>311</v>
      </c>
      <c r="D160" s="11">
        <v>171</v>
      </c>
      <c r="E160" s="12"/>
      <c r="F160" s="13" t="str">
        <f t="shared" si="52"/>
        <v/>
      </c>
      <c r="G160" s="14" t="str">
        <f t="shared" si="53"/>
        <v/>
      </c>
      <c r="H160" s="15"/>
      <c r="I160" s="16" t="str">
        <f t="shared" si="54"/>
        <v/>
      </c>
      <c r="J160" s="17" t="str">
        <f t="shared" si="55"/>
        <v/>
      </c>
      <c r="K160" s="10"/>
    </row>
    <row r="161" spans="1:11" ht="19.5" customHeight="1">
      <c r="A161" s="9">
        <v>144</v>
      </c>
      <c r="B161" s="9" t="s">
        <v>312</v>
      </c>
      <c r="C161" s="10" t="s">
        <v>313</v>
      </c>
      <c r="D161" s="11">
        <v>170</v>
      </c>
      <c r="E161" s="12"/>
      <c r="F161" s="13" t="str">
        <f t="shared" si="52"/>
        <v/>
      </c>
      <c r="G161" s="14" t="str">
        <f t="shared" si="53"/>
        <v/>
      </c>
      <c r="H161" s="15"/>
      <c r="I161" s="16" t="str">
        <f t="shared" si="54"/>
        <v/>
      </c>
      <c r="J161" s="17" t="str">
        <f t="shared" si="55"/>
        <v/>
      </c>
      <c r="K161" s="10"/>
    </row>
    <row r="162" spans="1:11" ht="19.5" customHeight="1">
      <c r="A162" s="9">
        <v>145</v>
      </c>
      <c r="B162" s="9" t="s">
        <v>314</v>
      </c>
      <c r="C162" s="10" t="s">
        <v>315</v>
      </c>
      <c r="D162" s="11">
        <v>171</v>
      </c>
      <c r="E162" s="12"/>
      <c r="F162" s="13" t="str">
        <f t="shared" si="52"/>
        <v/>
      </c>
      <c r="G162" s="14" t="str">
        <f t="shared" si="53"/>
        <v/>
      </c>
      <c r="H162" s="15"/>
      <c r="I162" s="16" t="str">
        <f t="shared" si="54"/>
        <v/>
      </c>
      <c r="J162" s="17" t="str">
        <f t="shared" si="55"/>
        <v/>
      </c>
      <c r="K162" s="10"/>
    </row>
    <row r="163" spans="1:11" ht="19.5" customHeight="1">
      <c r="A163" s="2" t="s">
        <v>316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9.5" customHeight="1">
      <c r="A164" s="9">
        <v>146</v>
      </c>
      <c r="B164" s="9" t="s">
        <v>317</v>
      </c>
      <c r="C164" s="10" t="s">
        <v>318</v>
      </c>
      <c r="D164" s="11">
        <v>170</v>
      </c>
      <c r="E164" s="12"/>
      <c r="F164" s="13" t="str">
        <f t="shared" ref="F164:F174" si="56">IF(AND(ISNUMBER(D164), ISNUMBER(E164), D164&gt;0), E164/((D164/100)^2), "")</f>
        <v/>
      </c>
      <c r="G164" s="14" t="str">
        <f t="shared" ref="G164:G174" si="57">IF(F164="","",IF(F164&lt;18.5,"ผอมเกินไป",IF(F164&lt;23,"สมส่วน (ปกติ)",IF(F164&lt;25,"น้ำหนักเกิน (ท้วม)",IF(F164&lt;30,"อ้วนระดับ 1","อ้วนระดับ 2 (อ้วนมาก)")))))</f>
        <v/>
      </c>
      <c r="H164" s="15"/>
      <c r="I164" s="16" t="str">
        <f t="shared" ref="I164:I174" si="58">IF(AND(ISNUMBER(D164), ISNUMBER(H164), D164&gt;0), H164/((D164/100)^2), "")</f>
        <v/>
      </c>
      <c r="J164" s="17" t="str">
        <f t="shared" ref="J164:J174" si="59">IF(I164="","",IF(I164&lt;18.5,"ผอมเกินไป",IF(I164&lt;23,"สมส่วน (ปกติ)",IF(I164&lt;25,"น้ำหนักเกิน (ท้วม)",IF(I164&lt;30,"อ้วนระดับ 1","อ้วนระดับ 2 (อ้วนมาก)")))))</f>
        <v/>
      </c>
      <c r="K164" s="10"/>
    </row>
    <row r="165" spans="1:11" ht="19.5" customHeight="1">
      <c r="A165" s="9">
        <v>147</v>
      </c>
      <c r="B165" s="9" t="s">
        <v>319</v>
      </c>
      <c r="C165" s="10" t="s">
        <v>320</v>
      </c>
      <c r="D165" s="11">
        <v>170</v>
      </c>
      <c r="E165" s="12"/>
      <c r="F165" s="13" t="str">
        <f t="shared" si="56"/>
        <v/>
      </c>
      <c r="G165" s="14" t="str">
        <f t="shared" si="57"/>
        <v/>
      </c>
      <c r="H165" s="15"/>
      <c r="I165" s="16" t="str">
        <f t="shared" si="58"/>
        <v/>
      </c>
      <c r="J165" s="17" t="str">
        <f t="shared" si="59"/>
        <v/>
      </c>
      <c r="K165" s="10"/>
    </row>
    <row r="166" spans="1:11" ht="19.5" customHeight="1">
      <c r="A166" s="9">
        <v>148</v>
      </c>
      <c r="B166" s="9" t="s">
        <v>321</v>
      </c>
      <c r="C166" s="10" t="s">
        <v>322</v>
      </c>
      <c r="D166" s="11">
        <v>170</v>
      </c>
      <c r="E166" s="12"/>
      <c r="F166" s="13" t="str">
        <f t="shared" si="56"/>
        <v/>
      </c>
      <c r="G166" s="14" t="str">
        <f t="shared" si="57"/>
        <v/>
      </c>
      <c r="H166" s="15"/>
      <c r="I166" s="16" t="str">
        <f t="shared" si="58"/>
        <v/>
      </c>
      <c r="J166" s="17" t="str">
        <f t="shared" si="59"/>
        <v/>
      </c>
      <c r="K166" s="10"/>
    </row>
    <row r="167" spans="1:11" ht="19.5" customHeight="1">
      <c r="A167" s="9">
        <v>149</v>
      </c>
      <c r="B167" s="9" t="s">
        <v>323</v>
      </c>
      <c r="C167" s="10" t="s">
        <v>324</v>
      </c>
      <c r="D167" s="11">
        <v>170</v>
      </c>
      <c r="E167" s="12"/>
      <c r="F167" s="13" t="str">
        <f t="shared" si="56"/>
        <v/>
      </c>
      <c r="G167" s="14" t="str">
        <f t="shared" si="57"/>
        <v/>
      </c>
      <c r="H167" s="15"/>
      <c r="I167" s="16" t="str">
        <f t="shared" si="58"/>
        <v/>
      </c>
      <c r="J167" s="17" t="str">
        <f t="shared" si="59"/>
        <v/>
      </c>
      <c r="K167" s="10"/>
    </row>
    <row r="168" spans="1:11" ht="19.5" customHeight="1">
      <c r="A168" s="9">
        <v>150</v>
      </c>
      <c r="B168" s="9" t="s">
        <v>325</v>
      </c>
      <c r="C168" s="10" t="s">
        <v>326</v>
      </c>
      <c r="D168" s="11">
        <v>170</v>
      </c>
      <c r="E168" s="12"/>
      <c r="F168" s="13" t="str">
        <f t="shared" si="56"/>
        <v/>
      </c>
      <c r="G168" s="14" t="str">
        <f t="shared" si="57"/>
        <v/>
      </c>
      <c r="H168" s="15"/>
      <c r="I168" s="16" t="str">
        <f t="shared" si="58"/>
        <v/>
      </c>
      <c r="J168" s="17" t="str">
        <f t="shared" si="59"/>
        <v/>
      </c>
      <c r="K168" s="10"/>
    </row>
    <row r="169" spans="1:11" ht="19.5" customHeight="1">
      <c r="A169" s="9">
        <v>151</v>
      </c>
      <c r="B169" s="9" t="s">
        <v>327</v>
      </c>
      <c r="C169" s="10" t="s">
        <v>328</v>
      </c>
      <c r="D169" s="11">
        <v>170</v>
      </c>
      <c r="E169" s="12"/>
      <c r="F169" s="13" t="str">
        <f t="shared" si="56"/>
        <v/>
      </c>
      <c r="G169" s="14" t="str">
        <f t="shared" si="57"/>
        <v/>
      </c>
      <c r="H169" s="15"/>
      <c r="I169" s="16" t="str">
        <f t="shared" si="58"/>
        <v/>
      </c>
      <c r="J169" s="17" t="str">
        <f t="shared" si="59"/>
        <v/>
      </c>
      <c r="K169" s="10"/>
    </row>
    <row r="170" spans="1:11" ht="19.5" customHeight="1">
      <c r="A170" s="9">
        <v>152</v>
      </c>
      <c r="B170" s="9" t="s">
        <v>329</v>
      </c>
      <c r="C170" s="10" t="s">
        <v>330</v>
      </c>
      <c r="D170" s="11">
        <v>170</v>
      </c>
      <c r="E170" s="12"/>
      <c r="F170" s="13" t="str">
        <f t="shared" si="56"/>
        <v/>
      </c>
      <c r="G170" s="14" t="str">
        <f t="shared" si="57"/>
        <v/>
      </c>
      <c r="H170" s="15"/>
      <c r="I170" s="16" t="str">
        <f t="shared" si="58"/>
        <v/>
      </c>
      <c r="J170" s="17" t="str">
        <f t="shared" si="59"/>
        <v/>
      </c>
      <c r="K170" s="10"/>
    </row>
    <row r="171" spans="1:11" ht="19.5" customHeight="1">
      <c r="A171" s="9">
        <v>153</v>
      </c>
      <c r="B171" s="9" t="s">
        <v>331</v>
      </c>
      <c r="C171" s="10" t="s">
        <v>332</v>
      </c>
      <c r="D171" s="11">
        <v>170</v>
      </c>
      <c r="E171" s="12"/>
      <c r="F171" s="13" t="str">
        <f t="shared" si="56"/>
        <v/>
      </c>
      <c r="G171" s="14" t="str">
        <f t="shared" si="57"/>
        <v/>
      </c>
      <c r="H171" s="15"/>
      <c r="I171" s="16" t="str">
        <f t="shared" si="58"/>
        <v/>
      </c>
      <c r="J171" s="17" t="str">
        <f t="shared" si="59"/>
        <v/>
      </c>
      <c r="K171" s="10"/>
    </row>
    <row r="172" spans="1:11" ht="19.5" customHeight="1">
      <c r="A172" s="9">
        <v>154</v>
      </c>
      <c r="B172" s="9" t="s">
        <v>333</v>
      </c>
      <c r="C172" s="10" t="s">
        <v>334</v>
      </c>
      <c r="D172" s="11">
        <v>170</v>
      </c>
      <c r="E172" s="12"/>
      <c r="F172" s="13" t="str">
        <f t="shared" si="56"/>
        <v/>
      </c>
      <c r="G172" s="14" t="str">
        <f t="shared" si="57"/>
        <v/>
      </c>
      <c r="H172" s="15"/>
      <c r="I172" s="16" t="str">
        <f t="shared" si="58"/>
        <v/>
      </c>
      <c r="J172" s="17" t="str">
        <f t="shared" si="59"/>
        <v/>
      </c>
      <c r="K172" s="10"/>
    </row>
    <row r="173" spans="1:11" ht="19.5" customHeight="1">
      <c r="A173" s="9">
        <v>155</v>
      </c>
      <c r="B173" s="9" t="s">
        <v>335</v>
      </c>
      <c r="C173" s="10" t="s">
        <v>336</v>
      </c>
      <c r="D173" s="11">
        <v>170</v>
      </c>
      <c r="E173" s="12"/>
      <c r="F173" s="13" t="str">
        <f t="shared" si="56"/>
        <v/>
      </c>
      <c r="G173" s="14" t="str">
        <f t="shared" si="57"/>
        <v/>
      </c>
      <c r="H173" s="15"/>
      <c r="I173" s="16" t="str">
        <f t="shared" si="58"/>
        <v/>
      </c>
      <c r="J173" s="17" t="str">
        <f t="shared" si="59"/>
        <v/>
      </c>
      <c r="K173" s="10"/>
    </row>
    <row r="174" spans="1:11" ht="19.5" customHeight="1">
      <c r="A174" s="9">
        <v>156</v>
      </c>
      <c r="B174" s="9" t="s">
        <v>337</v>
      </c>
      <c r="C174" s="10" t="s">
        <v>338</v>
      </c>
      <c r="D174" s="11">
        <v>170</v>
      </c>
      <c r="E174" s="12"/>
      <c r="F174" s="13" t="str">
        <f t="shared" si="56"/>
        <v/>
      </c>
      <c r="G174" s="14" t="str">
        <f t="shared" si="57"/>
        <v/>
      </c>
      <c r="H174" s="15"/>
      <c r="I174" s="16" t="str">
        <f t="shared" si="58"/>
        <v/>
      </c>
      <c r="J174" s="17" t="str">
        <f t="shared" si="59"/>
        <v/>
      </c>
      <c r="K174" s="10"/>
    </row>
    <row r="175" spans="1:11" ht="19.5" customHeight="1">
      <c r="A175" s="2" t="s">
        <v>339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9.5" customHeight="1">
      <c r="A176" s="9">
        <v>157</v>
      </c>
      <c r="B176" s="9" t="s">
        <v>340</v>
      </c>
      <c r="C176" s="10" t="s">
        <v>341</v>
      </c>
      <c r="D176" s="11">
        <v>168</v>
      </c>
      <c r="E176" s="12"/>
      <c r="F176" s="13" t="str">
        <f t="shared" ref="F176:F186" si="60">IF(AND(ISNUMBER(D176), ISNUMBER(E176), D176&gt;0), E176/((D176/100)^2), "")</f>
        <v/>
      </c>
      <c r="G176" s="14" t="str">
        <f t="shared" ref="G176:G186" si="61">IF(F176="","",IF(F176&lt;18.5,"ผอมเกินไป",IF(F176&lt;23,"สมส่วน (ปกติ)",IF(F176&lt;25,"น้ำหนักเกิน (ท้วม)",IF(F176&lt;30,"อ้วนระดับ 1","อ้วนระดับ 2 (อ้วนมาก)")))))</f>
        <v/>
      </c>
      <c r="H176" s="15"/>
      <c r="I176" s="16" t="str">
        <f t="shared" ref="I176:I186" si="62">IF(AND(ISNUMBER(D176), ISNUMBER(H176), D176&gt;0), H176/((D176/100)^2), "")</f>
        <v/>
      </c>
      <c r="J176" s="17" t="str">
        <f t="shared" ref="J176:J186" si="63">IF(I176="","",IF(I176&lt;18.5,"ผอมเกินไป",IF(I176&lt;23,"สมส่วน (ปกติ)",IF(I176&lt;25,"น้ำหนักเกิน (ท้วม)",IF(I176&lt;30,"อ้วนระดับ 1","อ้วนระดับ 2 (อ้วนมาก)")))))</f>
        <v/>
      </c>
      <c r="K176" s="10"/>
    </row>
    <row r="177" spans="1:11" ht="19.5" customHeight="1">
      <c r="A177" s="9">
        <v>158</v>
      </c>
      <c r="B177" s="9" t="s">
        <v>342</v>
      </c>
      <c r="C177" s="10" t="s">
        <v>343</v>
      </c>
      <c r="D177" s="11">
        <v>168</v>
      </c>
      <c r="E177" s="12"/>
      <c r="F177" s="13" t="str">
        <f t="shared" si="60"/>
        <v/>
      </c>
      <c r="G177" s="14" t="str">
        <f t="shared" si="61"/>
        <v/>
      </c>
      <c r="H177" s="15"/>
      <c r="I177" s="16" t="str">
        <f t="shared" si="62"/>
        <v/>
      </c>
      <c r="J177" s="17" t="str">
        <f t="shared" si="63"/>
        <v/>
      </c>
      <c r="K177" s="10"/>
    </row>
    <row r="178" spans="1:11" ht="19.5" customHeight="1">
      <c r="A178" s="9">
        <v>159</v>
      </c>
      <c r="B178" s="9" t="s">
        <v>344</v>
      </c>
      <c r="C178" s="10" t="s">
        <v>345</v>
      </c>
      <c r="D178" s="11">
        <v>168</v>
      </c>
      <c r="E178" s="12"/>
      <c r="F178" s="13" t="str">
        <f t="shared" si="60"/>
        <v/>
      </c>
      <c r="G178" s="14" t="str">
        <f t="shared" si="61"/>
        <v/>
      </c>
      <c r="H178" s="15"/>
      <c r="I178" s="16" t="str">
        <f t="shared" si="62"/>
        <v/>
      </c>
      <c r="J178" s="17" t="str">
        <f t="shared" si="63"/>
        <v/>
      </c>
      <c r="K178" s="10"/>
    </row>
    <row r="179" spans="1:11" ht="19.5" customHeight="1">
      <c r="A179" s="9">
        <v>160</v>
      </c>
      <c r="B179" s="9" t="s">
        <v>346</v>
      </c>
      <c r="C179" s="10" t="s">
        <v>347</v>
      </c>
      <c r="D179" s="11">
        <v>169</v>
      </c>
      <c r="E179" s="12"/>
      <c r="F179" s="13" t="str">
        <f t="shared" si="60"/>
        <v/>
      </c>
      <c r="G179" s="14" t="str">
        <f t="shared" si="61"/>
        <v/>
      </c>
      <c r="H179" s="15"/>
      <c r="I179" s="16" t="str">
        <f t="shared" si="62"/>
        <v/>
      </c>
      <c r="J179" s="17" t="str">
        <f t="shared" si="63"/>
        <v/>
      </c>
      <c r="K179" s="10"/>
    </row>
    <row r="180" spans="1:11" ht="19.5" customHeight="1">
      <c r="A180" s="9">
        <v>161</v>
      </c>
      <c r="B180" s="9" t="s">
        <v>348</v>
      </c>
      <c r="C180" s="10" t="s">
        <v>349</v>
      </c>
      <c r="D180" s="11">
        <v>167</v>
      </c>
      <c r="E180" s="12"/>
      <c r="F180" s="13" t="str">
        <f t="shared" si="60"/>
        <v/>
      </c>
      <c r="G180" s="14" t="str">
        <f t="shared" si="61"/>
        <v/>
      </c>
      <c r="H180" s="15"/>
      <c r="I180" s="16" t="str">
        <f t="shared" si="62"/>
        <v/>
      </c>
      <c r="J180" s="17" t="str">
        <f t="shared" si="63"/>
        <v/>
      </c>
      <c r="K180" s="10"/>
    </row>
    <row r="181" spans="1:11" ht="19.5" customHeight="1">
      <c r="A181" s="9">
        <v>162</v>
      </c>
      <c r="B181" s="9" t="s">
        <v>350</v>
      </c>
      <c r="C181" s="10" t="s">
        <v>351</v>
      </c>
      <c r="D181" s="11">
        <v>165</v>
      </c>
      <c r="E181" s="12"/>
      <c r="F181" s="13" t="str">
        <f t="shared" si="60"/>
        <v/>
      </c>
      <c r="G181" s="14" t="str">
        <f t="shared" si="61"/>
        <v/>
      </c>
      <c r="H181" s="15"/>
      <c r="I181" s="16" t="str">
        <f t="shared" si="62"/>
        <v/>
      </c>
      <c r="J181" s="17" t="str">
        <f t="shared" si="63"/>
        <v/>
      </c>
      <c r="K181" s="10"/>
    </row>
    <row r="182" spans="1:11" ht="19.5" customHeight="1">
      <c r="A182" s="9">
        <v>163</v>
      </c>
      <c r="B182" s="9" t="s">
        <v>352</v>
      </c>
      <c r="C182" s="10" t="s">
        <v>353</v>
      </c>
      <c r="D182" s="11">
        <v>168</v>
      </c>
      <c r="E182" s="12"/>
      <c r="F182" s="13" t="str">
        <f t="shared" si="60"/>
        <v/>
      </c>
      <c r="G182" s="14" t="str">
        <f t="shared" si="61"/>
        <v/>
      </c>
      <c r="H182" s="15"/>
      <c r="I182" s="16" t="str">
        <f t="shared" si="62"/>
        <v/>
      </c>
      <c r="J182" s="17" t="str">
        <f t="shared" si="63"/>
        <v/>
      </c>
      <c r="K182" s="10"/>
    </row>
    <row r="183" spans="1:11" ht="19.5" customHeight="1">
      <c r="A183" s="9">
        <v>164</v>
      </c>
      <c r="B183" s="9" t="s">
        <v>354</v>
      </c>
      <c r="C183" s="10" t="s">
        <v>355</v>
      </c>
      <c r="D183" s="11">
        <v>167</v>
      </c>
      <c r="E183" s="12"/>
      <c r="F183" s="13" t="str">
        <f t="shared" si="60"/>
        <v/>
      </c>
      <c r="G183" s="14" t="str">
        <f t="shared" si="61"/>
        <v/>
      </c>
      <c r="H183" s="15"/>
      <c r="I183" s="16" t="str">
        <f t="shared" si="62"/>
        <v/>
      </c>
      <c r="J183" s="17" t="str">
        <f t="shared" si="63"/>
        <v/>
      </c>
      <c r="K183" s="10"/>
    </row>
    <row r="184" spans="1:11" ht="19.5" customHeight="1">
      <c r="A184" s="9">
        <v>165</v>
      </c>
      <c r="B184" s="9" t="s">
        <v>356</v>
      </c>
      <c r="C184" s="10" t="s">
        <v>357</v>
      </c>
      <c r="D184" s="11">
        <v>165</v>
      </c>
      <c r="E184" s="12"/>
      <c r="F184" s="13" t="str">
        <f t="shared" si="60"/>
        <v/>
      </c>
      <c r="G184" s="14" t="str">
        <f t="shared" si="61"/>
        <v/>
      </c>
      <c r="H184" s="15"/>
      <c r="I184" s="16" t="str">
        <f t="shared" si="62"/>
        <v/>
      </c>
      <c r="J184" s="17" t="str">
        <f t="shared" si="63"/>
        <v/>
      </c>
      <c r="K184" s="10"/>
    </row>
    <row r="185" spans="1:11" ht="19.5" customHeight="1">
      <c r="A185" s="9">
        <v>166</v>
      </c>
      <c r="B185" s="9" t="s">
        <v>358</v>
      </c>
      <c r="C185" s="10" t="s">
        <v>359</v>
      </c>
      <c r="D185" s="11">
        <v>163</v>
      </c>
      <c r="E185" s="12"/>
      <c r="F185" s="13" t="str">
        <f t="shared" si="60"/>
        <v/>
      </c>
      <c r="G185" s="14" t="str">
        <f t="shared" si="61"/>
        <v/>
      </c>
      <c r="H185" s="15"/>
      <c r="I185" s="16" t="str">
        <f t="shared" si="62"/>
        <v/>
      </c>
      <c r="J185" s="17" t="str">
        <f t="shared" si="63"/>
        <v/>
      </c>
      <c r="K185" s="10"/>
    </row>
    <row r="186" spans="1:11" ht="19.5" customHeight="1">
      <c r="A186" s="9">
        <v>167</v>
      </c>
      <c r="B186" s="9" t="s">
        <v>360</v>
      </c>
      <c r="C186" s="10" t="s">
        <v>361</v>
      </c>
      <c r="D186" s="11">
        <v>163</v>
      </c>
      <c r="E186" s="12"/>
      <c r="F186" s="13" t="str">
        <f t="shared" si="60"/>
        <v/>
      </c>
      <c r="G186" s="14" t="str">
        <f t="shared" si="61"/>
        <v/>
      </c>
      <c r="H186" s="15"/>
      <c r="I186" s="16" t="str">
        <f t="shared" si="62"/>
        <v/>
      </c>
      <c r="J186" s="17" t="str">
        <f t="shared" si="63"/>
        <v/>
      </c>
      <c r="K186" s="10"/>
    </row>
    <row r="187" spans="1:11" ht="19.5" customHeight="1">
      <c r="A187" s="2" t="s">
        <v>362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9.5" customHeight="1">
      <c r="A188" s="9">
        <v>168</v>
      </c>
      <c r="B188" s="9" t="s">
        <v>363</v>
      </c>
      <c r="C188" s="10" t="s">
        <v>364</v>
      </c>
      <c r="D188" s="11">
        <v>169</v>
      </c>
      <c r="E188" s="12"/>
      <c r="F188" s="13" t="str">
        <f t="shared" ref="F188:F197" si="64">IF(AND(ISNUMBER(D188), ISNUMBER(E188), D188&gt;0), E188/((D188/100)^2), "")</f>
        <v/>
      </c>
      <c r="G188" s="14" t="str">
        <f t="shared" ref="G188:G197" si="65">IF(F188="","",IF(F188&lt;18.5,"ผอมเกินไป",IF(F188&lt;23,"สมส่วน (ปกติ)",IF(F188&lt;25,"น้ำหนักเกิน (ท้วม)",IF(F188&lt;30,"อ้วนระดับ 1","อ้วนระดับ 2 (อ้วนมาก)")))))</f>
        <v/>
      </c>
      <c r="H188" s="15"/>
      <c r="I188" s="16" t="str">
        <f t="shared" ref="I188:I197" si="66">IF(AND(ISNUMBER(D188), ISNUMBER(H188), D188&gt;0), H188/((D188/100)^2), "")</f>
        <v/>
      </c>
      <c r="J188" s="17" t="str">
        <f t="shared" ref="J188:J197" si="67">IF(I188="","",IF(I188&lt;18.5,"ผอมเกินไป",IF(I188&lt;23,"สมส่วน (ปกติ)",IF(I188&lt;25,"น้ำหนักเกิน (ท้วม)",IF(I188&lt;30,"อ้วนระดับ 1","อ้วนระดับ 2 (อ้วนมาก)")))))</f>
        <v/>
      </c>
      <c r="K188" s="10"/>
    </row>
    <row r="189" spans="1:11" ht="19.5" customHeight="1">
      <c r="A189" s="9">
        <v>169</v>
      </c>
      <c r="B189" s="9" t="s">
        <v>365</v>
      </c>
      <c r="C189" s="10" t="s">
        <v>366</v>
      </c>
      <c r="D189" s="11">
        <v>169</v>
      </c>
      <c r="E189" s="12"/>
      <c r="F189" s="13" t="str">
        <f t="shared" si="64"/>
        <v/>
      </c>
      <c r="G189" s="14" t="str">
        <f t="shared" si="65"/>
        <v/>
      </c>
      <c r="H189" s="15"/>
      <c r="I189" s="16" t="str">
        <f t="shared" si="66"/>
        <v/>
      </c>
      <c r="J189" s="17" t="str">
        <f t="shared" si="67"/>
        <v/>
      </c>
      <c r="K189" s="10"/>
    </row>
    <row r="190" spans="1:11" ht="19.5" customHeight="1">
      <c r="A190" s="9">
        <v>170</v>
      </c>
      <c r="B190" s="9" t="s">
        <v>367</v>
      </c>
      <c r="C190" s="10" t="s">
        <v>368</v>
      </c>
      <c r="D190" s="11">
        <v>169</v>
      </c>
      <c r="E190" s="12"/>
      <c r="F190" s="13" t="str">
        <f t="shared" si="64"/>
        <v/>
      </c>
      <c r="G190" s="14" t="str">
        <f t="shared" si="65"/>
        <v/>
      </c>
      <c r="H190" s="15"/>
      <c r="I190" s="16" t="str">
        <f t="shared" si="66"/>
        <v/>
      </c>
      <c r="J190" s="17" t="str">
        <f t="shared" si="67"/>
        <v/>
      </c>
      <c r="K190" s="10"/>
    </row>
    <row r="191" spans="1:11" ht="19.5" customHeight="1">
      <c r="A191" s="9">
        <v>171</v>
      </c>
      <c r="B191" s="9" t="s">
        <v>369</v>
      </c>
      <c r="C191" s="10" t="s">
        <v>370</v>
      </c>
      <c r="D191" s="11">
        <v>168</v>
      </c>
      <c r="E191" s="12"/>
      <c r="F191" s="13" t="str">
        <f t="shared" si="64"/>
        <v/>
      </c>
      <c r="G191" s="14" t="str">
        <f t="shared" si="65"/>
        <v/>
      </c>
      <c r="H191" s="15"/>
      <c r="I191" s="16" t="str">
        <f t="shared" si="66"/>
        <v/>
      </c>
      <c r="J191" s="17" t="str">
        <f t="shared" si="67"/>
        <v/>
      </c>
      <c r="K191" s="10"/>
    </row>
    <row r="192" spans="1:11" ht="19.5" customHeight="1">
      <c r="A192" s="9">
        <v>172</v>
      </c>
      <c r="B192" s="9" t="s">
        <v>371</v>
      </c>
      <c r="C192" s="10" t="s">
        <v>372</v>
      </c>
      <c r="D192" s="11">
        <v>167</v>
      </c>
      <c r="E192" s="12"/>
      <c r="F192" s="13" t="str">
        <f t="shared" si="64"/>
        <v/>
      </c>
      <c r="G192" s="14" t="str">
        <f t="shared" si="65"/>
        <v/>
      </c>
      <c r="H192" s="15"/>
      <c r="I192" s="16" t="str">
        <f t="shared" si="66"/>
        <v/>
      </c>
      <c r="J192" s="17" t="str">
        <f t="shared" si="67"/>
        <v/>
      </c>
      <c r="K192" s="10"/>
    </row>
    <row r="193" spans="1:11" ht="19.5" customHeight="1">
      <c r="A193" s="9">
        <v>173</v>
      </c>
      <c r="B193" s="9" t="s">
        <v>373</v>
      </c>
      <c r="C193" s="10" t="s">
        <v>374</v>
      </c>
      <c r="D193" s="11">
        <v>163</v>
      </c>
      <c r="E193" s="12"/>
      <c r="F193" s="13" t="str">
        <f t="shared" si="64"/>
        <v/>
      </c>
      <c r="G193" s="14" t="str">
        <f t="shared" si="65"/>
        <v/>
      </c>
      <c r="H193" s="15"/>
      <c r="I193" s="16" t="str">
        <f t="shared" si="66"/>
        <v/>
      </c>
      <c r="J193" s="17" t="str">
        <f t="shared" si="67"/>
        <v/>
      </c>
      <c r="K193" s="10"/>
    </row>
    <row r="194" spans="1:11" ht="19.5" customHeight="1">
      <c r="A194" s="9">
        <v>174</v>
      </c>
      <c r="B194" s="9" t="s">
        <v>375</v>
      </c>
      <c r="C194" s="10" t="s">
        <v>376</v>
      </c>
      <c r="D194" s="11">
        <v>168</v>
      </c>
      <c r="E194" s="12"/>
      <c r="F194" s="13" t="str">
        <f t="shared" si="64"/>
        <v/>
      </c>
      <c r="G194" s="14" t="str">
        <f t="shared" si="65"/>
        <v/>
      </c>
      <c r="H194" s="15"/>
      <c r="I194" s="16" t="str">
        <f t="shared" si="66"/>
        <v/>
      </c>
      <c r="J194" s="17" t="str">
        <f t="shared" si="67"/>
        <v/>
      </c>
      <c r="K194" s="10"/>
    </row>
    <row r="195" spans="1:11" ht="19.5" customHeight="1">
      <c r="A195" s="9">
        <v>175</v>
      </c>
      <c r="B195" s="9" t="s">
        <v>377</v>
      </c>
      <c r="C195" s="10" t="s">
        <v>378</v>
      </c>
      <c r="D195" s="11">
        <v>165</v>
      </c>
      <c r="E195" s="12"/>
      <c r="F195" s="13" t="str">
        <f t="shared" si="64"/>
        <v/>
      </c>
      <c r="G195" s="14" t="str">
        <f t="shared" si="65"/>
        <v/>
      </c>
      <c r="H195" s="15"/>
      <c r="I195" s="16" t="str">
        <f t="shared" si="66"/>
        <v/>
      </c>
      <c r="J195" s="17" t="str">
        <f t="shared" si="67"/>
        <v/>
      </c>
      <c r="K195" s="10"/>
    </row>
    <row r="196" spans="1:11" ht="19.5" customHeight="1">
      <c r="A196" s="9">
        <v>176</v>
      </c>
      <c r="B196" s="9" t="s">
        <v>379</v>
      </c>
      <c r="C196" s="10" t="s">
        <v>380</v>
      </c>
      <c r="D196" s="11">
        <v>163</v>
      </c>
      <c r="E196" s="12"/>
      <c r="F196" s="13" t="str">
        <f t="shared" si="64"/>
        <v/>
      </c>
      <c r="G196" s="14" t="str">
        <f t="shared" si="65"/>
        <v/>
      </c>
      <c r="H196" s="15"/>
      <c r="I196" s="16" t="str">
        <f t="shared" si="66"/>
        <v/>
      </c>
      <c r="J196" s="17" t="str">
        <f t="shared" si="67"/>
        <v/>
      </c>
      <c r="K196" s="10"/>
    </row>
    <row r="197" spans="1:11" ht="19.5" customHeight="1">
      <c r="A197" s="9">
        <v>177</v>
      </c>
      <c r="B197" s="9" t="s">
        <v>381</v>
      </c>
      <c r="C197" s="10" t="s">
        <v>382</v>
      </c>
      <c r="D197" s="11">
        <v>161</v>
      </c>
      <c r="E197" s="12"/>
      <c r="F197" s="13" t="str">
        <f t="shared" si="64"/>
        <v/>
      </c>
      <c r="G197" s="14" t="str">
        <f t="shared" si="65"/>
        <v/>
      </c>
      <c r="H197" s="15"/>
      <c r="I197" s="16" t="str">
        <f t="shared" si="66"/>
        <v/>
      </c>
      <c r="J197" s="17" t="str">
        <f t="shared" si="67"/>
        <v/>
      </c>
      <c r="K197" s="10"/>
    </row>
    <row r="198" spans="1:11" ht="19.5" customHeight="1">
      <c r="A198" s="2" t="s">
        <v>383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9.5" customHeight="1">
      <c r="A199" s="9">
        <v>178</v>
      </c>
      <c r="B199" s="9" t="s">
        <v>384</v>
      </c>
      <c r="C199" s="10" t="s">
        <v>385</v>
      </c>
      <c r="D199" s="11">
        <v>169</v>
      </c>
      <c r="E199" s="12"/>
      <c r="F199" s="13" t="str">
        <f t="shared" ref="F199:F208" si="68">IF(AND(ISNUMBER(D199), ISNUMBER(E199), D199&gt;0), E199/((D199/100)^2), "")</f>
        <v/>
      </c>
      <c r="G199" s="14" t="str">
        <f t="shared" ref="G199:G208" si="69">IF(F199="","",IF(F199&lt;18.5,"ผอมเกินไป",IF(F199&lt;23,"สมส่วน (ปกติ)",IF(F199&lt;25,"น้ำหนักเกิน (ท้วม)",IF(F199&lt;30,"อ้วนระดับ 1","อ้วนระดับ 2 (อ้วนมาก)")))))</f>
        <v/>
      </c>
      <c r="H199" s="15"/>
      <c r="I199" s="16" t="str">
        <f t="shared" ref="I199:I208" si="70">IF(AND(ISNUMBER(D199), ISNUMBER(H199), D199&gt;0), H199/((D199/100)^2), "")</f>
        <v/>
      </c>
      <c r="J199" s="17" t="str">
        <f t="shared" ref="J199:J208" si="71">IF(I199="","",IF(I199&lt;18.5,"ผอมเกินไป",IF(I199&lt;23,"สมส่วน (ปกติ)",IF(I199&lt;25,"น้ำหนักเกิน (ท้วม)",IF(I199&lt;30,"อ้วนระดับ 1","อ้วนระดับ 2 (อ้วนมาก)")))))</f>
        <v/>
      </c>
      <c r="K199" s="10"/>
    </row>
    <row r="200" spans="1:11" ht="19.5" customHeight="1">
      <c r="A200" s="9">
        <v>179</v>
      </c>
      <c r="B200" s="9" t="s">
        <v>386</v>
      </c>
      <c r="C200" s="10" t="s">
        <v>387</v>
      </c>
      <c r="D200" s="11">
        <v>168</v>
      </c>
      <c r="E200" s="12"/>
      <c r="F200" s="13" t="str">
        <f t="shared" si="68"/>
        <v/>
      </c>
      <c r="G200" s="14" t="str">
        <f t="shared" si="69"/>
        <v/>
      </c>
      <c r="H200" s="15"/>
      <c r="I200" s="16" t="str">
        <f t="shared" si="70"/>
        <v/>
      </c>
      <c r="J200" s="17" t="str">
        <f t="shared" si="71"/>
        <v/>
      </c>
      <c r="K200" s="10"/>
    </row>
    <row r="201" spans="1:11" ht="19.5" customHeight="1">
      <c r="A201" s="9">
        <v>180</v>
      </c>
      <c r="B201" s="9" t="s">
        <v>388</v>
      </c>
      <c r="C201" s="10" t="s">
        <v>389</v>
      </c>
      <c r="D201" s="11">
        <v>169</v>
      </c>
      <c r="E201" s="12"/>
      <c r="F201" s="13" t="str">
        <f t="shared" si="68"/>
        <v/>
      </c>
      <c r="G201" s="14" t="str">
        <f t="shared" si="69"/>
        <v/>
      </c>
      <c r="H201" s="15"/>
      <c r="I201" s="16" t="str">
        <f t="shared" si="70"/>
        <v/>
      </c>
      <c r="J201" s="17" t="str">
        <f t="shared" si="71"/>
        <v/>
      </c>
      <c r="K201" s="10"/>
    </row>
    <row r="202" spans="1:11" ht="19.5" customHeight="1">
      <c r="A202" s="9">
        <v>181</v>
      </c>
      <c r="B202" s="9" t="s">
        <v>390</v>
      </c>
      <c r="C202" s="10" t="s">
        <v>391</v>
      </c>
      <c r="D202" s="11">
        <v>169</v>
      </c>
      <c r="E202" s="12"/>
      <c r="F202" s="13" t="str">
        <f t="shared" si="68"/>
        <v/>
      </c>
      <c r="G202" s="14" t="str">
        <f t="shared" si="69"/>
        <v/>
      </c>
      <c r="H202" s="15"/>
      <c r="I202" s="16" t="str">
        <f t="shared" si="70"/>
        <v/>
      </c>
      <c r="J202" s="17" t="str">
        <f t="shared" si="71"/>
        <v/>
      </c>
      <c r="K202" s="10"/>
    </row>
    <row r="203" spans="1:11" ht="19.5" customHeight="1">
      <c r="A203" s="9">
        <v>182</v>
      </c>
      <c r="B203" s="9" t="s">
        <v>392</v>
      </c>
      <c r="C203" s="10" t="s">
        <v>393</v>
      </c>
      <c r="D203" s="11">
        <v>166</v>
      </c>
      <c r="E203" s="12"/>
      <c r="F203" s="13" t="str">
        <f t="shared" si="68"/>
        <v/>
      </c>
      <c r="G203" s="14" t="str">
        <f t="shared" si="69"/>
        <v/>
      </c>
      <c r="H203" s="15"/>
      <c r="I203" s="16" t="str">
        <f t="shared" si="70"/>
        <v/>
      </c>
      <c r="J203" s="17" t="str">
        <f t="shared" si="71"/>
        <v/>
      </c>
      <c r="K203" s="10"/>
    </row>
    <row r="204" spans="1:11" ht="19.5" customHeight="1">
      <c r="A204" s="9">
        <v>183</v>
      </c>
      <c r="B204" s="9" t="s">
        <v>394</v>
      </c>
      <c r="C204" s="10" t="s">
        <v>395</v>
      </c>
      <c r="D204" s="11">
        <v>166</v>
      </c>
      <c r="E204" s="12"/>
      <c r="F204" s="13" t="str">
        <f t="shared" si="68"/>
        <v/>
      </c>
      <c r="G204" s="14" t="str">
        <f t="shared" si="69"/>
        <v/>
      </c>
      <c r="H204" s="15"/>
      <c r="I204" s="16" t="str">
        <f t="shared" si="70"/>
        <v/>
      </c>
      <c r="J204" s="17" t="str">
        <f t="shared" si="71"/>
        <v/>
      </c>
      <c r="K204" s="10"/>
    </row>
    <row r="205" spans="1:11" ht="19.5" customHeight="1">
      <c r="A205" s="9">
        <v>184</v>
      </c>
      <c r="B205" s="9" t="s">
        <v>396</v>
      </c>
      <c r="C205" s="10" t="s">
        <v>397</v>
      </c>
      <c r="D205" s="11">
        <v>169</v>
      </c>
      <c r="E205" s="12"/>
      <c r="F205" s="13" t="str">
        <f t="shared" si="68"/>
        <v/>
      </c>
      <c r="G205" s="14" t="str">
        <f t="shared" si="69"/>
        <v/>
      </c>
      <c r="H205" s="15"/>
      <c r="I205" s="16" t="str">
        <f t="shared" si="70"/>
        <v/>
      </c>
      <c r="J205" s="17" t="str">
        <f t="shared" si="71"/>
        <v/>
      </c>
      <c r="K205" s="10"/>
    </row>
    <row r="206" spans="1:11" ht="19.5" customHeight="1">
      <c r="A206" s="9">
        <v>185</v>
      </c>
      <c r="B206" s="9" t="s">
        <v>398</v>
      </c>
      <c r="C206" s="10" t="s">
        <v>399</v>
      </c>
      <c r="D206" s="11">
        <v>165</v>
      </c>
      <c r="E206" s="12"/>
      <c r="F206" s="13" t="str">
        <f t="shared" si="68"/>
        <v/>
      </c>
      <c r="G206" s="14" t="str">
        <f t="shared" si="69"/>
        <v/>
      </c>
      <c r="H206" s="15"/>
      <c r="I206" s="16" t="str">
        <f t="shared" si="70"/>
        <v/>
      </c>
      <c r="J206" s="17" t="str">
        <f t="shared" si="71"/>
        <v/>
      </c>
      <c r="K206" s="10"/>
    </row>
    <row r="207" spans="1:11" ht="19.5" customHeight="1">
      <c r="A207" s="9">
        <v>186</v>
      </c>
      <c r="B207" s="9" t="s">
        <v>400</v>
      </c>
      <c r="C207" s="10" t="s">
        <v>401</v>
      </c>
      <c r="D207" s="11">
        <v>165</v>
      </c>
      <c r="E207" s="12"/>
      <c r="F207" s="13" t="str">
        <f t="shared" si="68"/>
        <v/>
      </c>
      <c r="G207" s="14" t="str">
        <f t="shared" si="69"/>
        <v/>
      </c>
      <c r="H207" s="15"/>
      <c r="I207" s="16" t="str">
        <f t="shared" si="70"/>
        <v/>
      </c>
      <c r="J207" s="17" t="str">
        <f t="shared" si="71"/>
        <v/>
      </c>
      <c r="K207" s="10"/>
    </row>
    <row r="208" spans="1:11" ht="19.5" customHeight="1">
      <c r="A208" s="9">
        <v>187</v>
      </c>
      <c r="B208" s="9" t="s">
        <v>402</v>
      </c>
      <c r="C208" s="10" t="s">
        <v>403</v>
      </c>
      <c r="D208" s="11">
        <v>166</v>
      </c>
      <c r="E208" s="12"/>
      <c r="F208" s="13" t="str">
        <f t="shared" si="68"/>
        <v/>
      </c>
      <c r="G208" s="14" t="str">
        <f t="shared" si="69"/>
        <v/>
      </c>
      <c r="H208" s="15"/>
      <c r="I208" s="16" t="str">
        <f t="shared" si="70"/>
        <v/>
      </c>
      <c r="J208" s="17" t="str">
        <f t="shared" si="71"/>
        <v/>
      </c>
      <c r="K208" s="10"/>
    </row>
    <row r="209" spans="1:11" ht="19.5" customHeight="1">
      <c r="A209" s="2" t="s">
        <v>404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9.5" customHeight="1">
      <c r="A210" s="9">
        <v>188</v>
      </c>
      <c r="B210" s="9" t="s">
        <v>405</v>
      </c>
      <c r="C210" s="10" t="s">
        <v>406</v>
      </c>
      <c r="D210" s="11">
        <v>169</v>
      </c>
      <c r="E210" s="12"/>
      <c r="F210" s="13" t="str">
        <f t="shared" ref="F210:F219" si="72">IF(AND(ISNUMBER(D210), ISNUMBER(E210), D210&gt;0), E210/((D210/100)^2), "")</f>
        <v/>
      </c>
      <c r="G210" s="14" t="str">
        <f t="shared" ref="G210:G219" si="73">IF(F210="","",IF(F210&lt;18.5,"ผอมเกินไป",IF(F210&lt;23,"สมส่วน (ปกติ)",IF(F210&lt;25,"น้ำหนักเกิน (ท้วม)",IF(F210&lt;30,"อ้วนระดับ 1","อ้วนระดับ 2 (อ้วนมาก)")))))</f>
        <v/>
      </c>
      <c r="H210" s="15"/>
      <c r="I210" s="16" t="str">
        <f t="shared" ref="I210:I219" si="74">IF(AND(ISNUMBER(D210), ISNUMBER(H210), D210&gt;0), H210/((D210/100)^2), "")</f>
        <v/>
      </c>
      <c r="J210" s="17" t="str">
        <f t="shared" ref="J210:J219" si="75">IF(I210="","",IF(I210&lt;18.5,"ผอมเกินไป",IF(I210&lt;23,"สมส่วน (ปกติ)",IF(I210&lt;25,"น้ำหนักเกิน (ท้วม)",IF(I210&lt;30,"อ้วนระดับ 1","อ้วนระดับ 2 (อ้วนมาก)")))))</f>
        <v/>
      </c>
      <c r="K210" s="10"/>
    </row>
    <row r="211" spans="1:11" ht="19.5" customHeight="1">
      <c r="A211" s="9">
        <v>189</v>
      </c>
      <c r="B211" s="9" t="s">
        <v>407</v>
      </c>
      <c r="C211" s="10" t="s">
        <v>408</v>
      </c>
      <c r="D211" s="11">
        <v>169</v>
      </c>
      <c r="E211" s="12"/>
      <c r="F211" s="13" t="str">
        <f t="shared" si="72"/>
        <v/>
      </c>
      <c r="G211" s="14" t="str">
        <f t="shared" si="73"/>
        <v/>
      </c>
      <c r="H211" s="15"/>
      <c r="I211" s="16" t="str">
        <f t="shared" si="74"/>
        <v/>
      </c>
      <c r="J211" s="17" t="str">
        <f t="shared" si="75"/>
        <v/>
      </c>
      <c r="K211" s="10"/>
    </row>
    <row r="212" spans="1:11" ht="19.5" customHeight="1">
      <c r="A212" s="9">
        <v>190</v>
      </c>
      <c r="B212" s="9" t="s">
        <v>409</v>
      </c>
      <c r="C212" s="10" t="s">
        <v>410</v>
      </c>
      <c r="D212" s="11">
        <v>168</v>
      </c>
      <c r="E212" s="12"/>
      <c r="F212" s="13" t="str">
        <f t="shared" si="72"/>
        <v/>
      </c>
      <c r="G212" s="14" t="str">
        <f t="shared" si="73"/>
        <v/>
      </c>
      <c r="H212" s="15"/>
      <c r="I212" s="16" t="str">
        <f t="shared" si="74"/>
        <v/>
      </c>
      <c r="J212" s="17" t="str">
        <f t="shared" si="75"/>
        <v/>
      </c>
      <c r="K212" s="10"/>
    </row>
    <row r="213" spans="1:11" ht="19.5" customHeight="1">
      <c r="A213" s="9">
        <v>191</v>
      </c>
      <c r="B213" s="9" t="s">
        <v>411</v>
      </c>
      <c r="C213" s="10" t="s">
        <v>412</v>
      </c>
      <c r="D213" s="11">
        <v>167</v>
      </c>
      <c r="E213" s="12"/>
      <c r="F213" s="13" t="str">
        <f t="shared" si="72"/>
        <v/>
      </c>
      <c r="G213" s="14" t="str">
        <f t="shared" si="73"/>
        <v/>
      </c>
      <c r="H213" s="15"/>
      <c r="I213" s="16" t="str">
        <f t="shared" si="74"/>
        <v/>
      </c>
      <c r="J213" s="17" t="str">
        <f t="shared" si="75"/>
        <v/>
      </c>
      <c r="K213" s="10"/>
    </row>
    <row r="214" spans="1:11" ht="19.5" customHeight="1">
      <c r="A214" s="9">
        <v>192</v>
      </c>
      <c r="B214" s="9" t="s">
        <v>413</v>
      </c>
      <c r="C214" s="10" t="s">
        <v>414</v>
      </c>
      <c r="D214" s="11">
        <v>166</v>
      </c>
      <c r="E214" s="12"/>
      <c r="F214" s="13" t="str">
        <f t="shared" si="72"/>
        <v/>
      </c>
      <c r="G214" s="14" t="str">
        <f t="shared" si="73"/>
        <v/>
      </c>
      <c r="H214" s="15"/>
      <c r="I214" s="16" t="str">
        <f t="shared" si="74"/>
        <v/>
      </c>
      <c r="J214" s="17" t="str">
        <f t="shared" si="75"/>
        <v/>
      </c>
      <c r="K214" s="10"/>
    </row>
    <row r="215" spans="1:11" ht="19.5" customHeight="1">
      <c r="A215" s="9">
        <v>193</v>
      </c>
      <c r="B215" s="9" t="s">
        <v>415</v>
      </c>
      <c r="C215" s="10" t="s">
        <v>416</v>
      </c>
      <c r="D215" s="11">
        <v>165</v>
      </c>
      <c r="E215" s="12"/>
      <c r="F215" s="13" t="str">
        <f t="shared" si="72"/>
        <v/>
      </c>
      <c r="G215" s="14" t="str">
        <f t="shared" si="73"/>
        <v/>
      </c>
      <c r="H215" s="15"/>
      <c r="I215" s="16" t="str">
        <f t="shared" si="74"/>
        <v/>
      </c>
      <c r="J215" s="17" t="str">
        <f t="shared" si="75"/>
        <v/>
      </c>
      <c r="K215" s="10"/>
    </row>
    <row r="216" spans="1:11" ht="19.5" customHeight="1">
      <c r="A216" s="9">
        <v>194</v>
      </c>
      <c r="B216" s="9" t="s">
        <v>417</v>
      </c>
      <c r="C216" s="10" t="s">
        <v>418</v>
      </c>
      <c r="D216" s="11">
        <v>163</v>
      </c>
      <c r="E216" s="12"/>
      <c r="F216" s="13" t="str">
        <f t="shared" si="72"/>
        <v/>
      </c>
      <c r="G216" s="14" t="str">
        <f t="shared" si="73"/>
        <v/>
      </c>
      <c r="H216" s="15"/>
      <c r="I216" s="16" t="str">
        <f t="shared" si="74"/>
        <v/>
      </c>
      <c r="J216" s="17" t="str">
        <f t="shared" si="75"/>
        <v/>
      </c>
      <c r="K216" s="10"/>
    </row>
    <row r="217" spans="1:11" ht="19.5" customHeight="1">
      <c r="A217" s="9">
        <v>195</v>
      </c>
      <c r="B217" s="9" t="s">
        <v>419</v>
      </c>
      <c r="C217" s="10" t="s">
        <v>420</v>
      </c>
      <c r="D217" s="11">
        <v>165</v>
      </c>
      <c r="E217" s="12"/>
      <c r="F217" s="13" t="str">
        <f t="shared" si="72"/>
        <v/>
      </c>
      <c r="G217" s="14" t="str">
        <f t="shared" si="73"/>
        <v/>
      </c>
      <c r="H217" s="15"/>
      <c r="I217" s="16" t="str">
        <f t="shared" si="74"/>
        <v/>
      </c>
      <c r="J217" s="17" t="str">
        <f t="shared" si="75"/>
        <v/>
      </c>
      <c r="K217" s="10"/>
    </row>
    <row r="218" spans="1:11" ht="19.5" customHeight="1">
      <c r="A218" s="9">
        <v>196</v>
      </c>
      <c r="B218" s="9" t="s">
        <v>421</v>
      </c>
      <c r="C218" s="10" t="s">
        <v>422</v>
      </c>
      <c r="D218" s="11">
        <v>163</v>
      </c>
      <c r="E218" s="12"/>
      <c r="F218" s="13" t="str">
        <f t="shared" si="72"/>
        <v/>
      </c>
      <c r="G218" s="14" t="str">
        <f t="shared" si="73"/>
        <v/>
      </c>
      <c r="H218" s="15"/>
      <c r="I218" s="16" t="str">
        <f t="shared" si="74"/>
        <v/>
      </c>
      <c r="J218" s="17" t="str">
        <f t="shared" si="75"/>
        <v/>
      </c>
      <c r="K218" s="10"/>
    </row>
    <row r="219" spans="1:11" ht="19.5" customHeight="1">
      <c r="A219" s="9">
        <v>197</v>
      </c>
      <c r="B219" s="9" t="s">
        <v>423</v>
      </c>
      <c r="C219" s="10" t="s">
        <v>424</v>
      </c>
      <c r="D219" s="11">
        <v>169</v>
      </c>
      <c r="E219" s="12"/>
      <c r="F219" s="13" t="str">
        <f t="shared" si="72"/>
        <v/>
      </c>
      <c r="G219" s="14" t="str">
        <f t="shared" si="73"/>
        <v/>
      </c>
      <c r="H219" s="15"/>
      <c r="I219" s="16" t="str">
        <f t="shared" si="74"/>
        <v/>
      </c>
      <c r="J219" s="17" t="str">
        <f t="shared" si="75"/>
        <v/>
      </c>
      <c r="K219" s="10"/>
    </row>
    <row r="220" spans="1:11" ht="19.5" customHeight="1">
      <c r="A220" s="2" t="s">
        <v>425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9.5" customHeight="1">
      <c r="A221" s="9">
        <v>198</v>
      </c>
      <c r="B221" s="9" t="s">
        <v>426</v>
      </c>
      <c r="C221" s="10" t="s">
        <v>427</v>
      </c>
      <c r="D221" s="11">
        <v>166</v>
      </c>
      <c r="E221" s="12"/>
      <c r="F221" s="13" t="str">
        <f t="shared" ref="F221:F230" si="76">IF(AND(ISNUMBER(D221), ISNUMBER(E221), D221&gt;0), E221/((D221/100)^2), "")</f>
        <v/>
      </c>
      <c r="G221" s="14" t="str">
        <f t="shared" ref="G221:G230" si="77">IF(F221="","",IF(F221&lt;18.5,"ผอมเกินไป",IF(F221&lt;23,"สมส่วน (ปกติ)",IF(F221&lt;25,"น้ำหนักเกิน (ท้วม)",IF(F221&lt;30,"อ้วนระดับ 1","อ้วนระดับ 2 (อ้วนมาก)")))))</f>
        <v/>
      </c>
      <c r="H221" s="15"/>
      <c r="I221" s="16" t="str">
        <f t="shared" ref="I221:I230" si="78">IF(AND(ISNUMBER(D221), ISNUMBER(H221), D221&gt;0), H221/((D221/100)^2), "")</f>
        <v/>
      </c>
      <c r="J221" s="17" t="str">
        <f t="shared" ref="J221:J230" si="79">IF(I221="","",IF(I221&lt;18.5,"ผอมเกินไป",IF(I221&lt;23,"สมส่วน (ปกติ)",IF(I221&lt;25,"น้ำหนักเกิน (ท้วม)",IF(I221&lt;30,"อ้วนระดับ 1","อ้วนระดับ 2 (อ้วนมาก)")))))</f>
        <v/>
      </c>
      <c r="K221" s="10"/>
    </row>
    <row r="222" spans="1:11" ht="19.5" customHeight="1">
      <c r="A222" s="9">
        <v>199</v>
      </c>
      <c r="B222" s="9" t="s">
        <v>428</v>
      </c>
      <c r="C222" s="10" t="s">
        <v>429</v>
      </c>
      <c r="D222" s="11">
        <v>168</v>
      </c>
      <c r="E222" s="12"/>
      <c r="F222" s="13" t="str">
        <f t="shared" si="76"/>
        <v/>
      </c>
      <c r="G222" s="14" t="str">
        <f t="shared" si="77"/>
        <v/>
      </c>
      <c r="H222" s="15"/>
      <c r="I222" s="16" t="str">
        <f t="shared" si="78"/>
        <v/>
      </c>
      <c r="J222" s="17" t="str">
        <f t="shared" si="79"/>
        <v/>
      </c>
      <c r="K222" s="10"/>
    </row>
    <row r="223" spans="1:11" ht="19.5" customHeight="1">
      <c r="A223" s="9">
        <v>200</v>
      </c>
      <c r="B223" s="9" t="s">
        <v>430</v>
      </c>
      <c r="C223" s="10" t="s">
        <v>431</v>
      </c>
      <c r="D223" s="11">
        <v>167</v>
      </c>
      <c r="E223" s="12"/>
      <c r="F223" s="13" t="str">
        <f t="shared" si="76"/>
        <v/>
      </c>
      <c r="G223" s="14" t="str">
        <f t="shared" si="77"/>
        <v/>
      </c>
      <c r="H223" s="15"/>
      <c r="I223" s="16" t="str">
        <f t="shared" si="78"/>
        <v/>
      </c>
      <c r="J223" s="17" t="str">
        <f t="shared" si="79"/>
        <v/>
      </c>
      <c r="K223" s="10"/>
    </row>
    <row r="224" spans="1:11" ht="19.5" customHeight="1">
      <c r="A224" s="9">
        <v>201</v>
      </c>
      <c r="B224" s="9" t="s">
        <v>432</v>
      </c>
      <c r="C224" s="10" t="s">
        <v>433</v>
      </c>
      <c r="D224" s="11">
        <v>167</v>
      </c>
      <c r="E224" s="12"/>
      <c r="F224" s="13" t="str">
        <f t="shared" si="76"/>
        <v/>
      </c>
      <c r="G224" s="14" t="str">
        <f t="shared" si="77"/>
        <v/>
      </c>
      <c r="H224" s="15"/>
      <c r="I224" s="16" t="str">
        <f t="shared" si="78"/>
        <v/>
      </c>
      <c r="J224" s="17" t="str">
        <f t="shared" si="79"/>
        <v/>
      </c>
      <c r="K224" s="10"/>
    </row>
    <row r="225" spans="1:11" ht="19.5" customHeight="1">
      <c r="A225" s="9">
        <v>202</v>
      </c>
      <c r="B225" s="9" t="s">
        <v>434</v>
      </c>
      <c r="C225" s="10" t="s">
        <v>435</v>
      </c>
      <c r="D225" s="11">
        <v>168</v>
      </c>
      <c r="E225" s="12"/>
      <c r="F225" s="13" t="str">
        <f t="shared" si="76"/>
        <v/>
      </c>
      <c r="G225" s="14" t="str">
        <f t="shared" si="77"/>
        <v/>
      </c>
      <c r="H225" s="15"/>
      <c r="I225" s="16" t="str">
        <f t="shared" si="78"/>
        <v/>
      </c>
      <c r="J225" s="17" t="str">
        <f t="shared" si="79"/>
        <v/>
      </c>
      <c r="K225" s="10"/>
    </row>
    <row r="226" spans="1:11" ht="19.5" customHeight="1">
      <c r="A226" s="9">
        <v>203</v>
      </c>
      <c r="B226" s="9" t="s">
        <v>436</v>
      </c>
      <c r="C226" s="10" t="s">
        <v>437</v>
      </c>
      <c r="D226" s="11">
        <v>167</v>
      </c>
      <c r="E226" s="12"/>
      <c r="F226" s="13" t="str">
        <f t="shared" si="76"/>
        <v/>
      </c>
      <c r="G226" s="14" t="str">
        <f t="shared" si="77"/>
        <v/>
      </c>
      <c r="H226" s="15"/>
      <c r="I226" s="16" t="str">
        <f t="shared" si="78"/>
        <v/>
      </c>
      <c r="J226" s="17" t="str">
        <f t="shared" si="79"/>
        <v/>
      </c>
      <c r="K226" s="10"/>
    </row>
    <row r="227" spans="1:11" ht="19.5" customHeight="1">
      <c r="A227" s="9">
        <v>204</v>
      </c>
      <c r="B227" s="9" t="s">
        <v>438</v>
      </c>
      <c r="C227" s="10" t="s">
        <v>439</v>
      </c>
      <c r="D227" s="11">
        <v>167</v>
      </c>
      <c r="E227" s="12"/>
      <c r="F227" s="13" t="str">
        <f t="shared" si="76"/>
        <v/>
      </c>
      <c r="G227" s="14" t="str">
        <f t="shared" si="77"/>
        <v/>
      </c>
      <c r="H227" s="15"/>
      <c r="I227" s="16" t="str">
        <f t="shared" si="78"/>
        <v/>
      </c>
      <c r="J227" s="17" t="str">
        <f t="shared" si="79"/>
        <v/>
      </c>
      <c r="K227" s="10"/>
    </row>
    <row r="228" spans="1:11" ht="19.5" customHeight="1">
      <c r="A228" s="9">
        <v>205</v>
      </c>
      <c r="B228" s="9" t="s">
        <v>440</v>
      </c>
      <c r="C228" s="10" t="s">
        <v>441</v>
      </c>
      <c r="D228" s="11">
        <v>163</v>
      </c>
      <c r="E228" s="12"/>
      <c r="F228" s="13" t="str">
        <f t="shared" si="76"/>
        <v/>
      </c>
      <c r="G228" s="14" t="str">
        <f t="shared" si="77"/>
        <v/>
      </c>
      <c r="H228" s="15"/>
      <c r="I228" s="16" t="str">
        <f t="shared" si="78"/>
        <v/>
      </c>
      <c r="J228" s="17" t="str">
        <f t="shared" si="79"/>
        <v/>
      </c>
      <c r="K228" s="10"/>
    </row>
    <row r="229" spans="1:11" ht="19.5" customHeight="1">
      <c r="A229" s="9">
        <v>206</v>
      </c>
      <c r="B229" s="9" t="s">
        <v>442</v>
      </c>
      <c r="C229" s="10" t="s">
        <v>443</v>
      </c>
      <c r="D229" s="11">
        <v>160</v>
      </c>
      <c r="E229" s="12"/>
      <c r="F229" s="13" t="str">
        <f t="shared" si="76"/>
        <v/>
      </c>
      <c r="G229" s="14" t="str">
        <f t="shared" si="77"/>
        <v/>
      </c>
      <c r="H229" s="15"/>
      <c r="I229" s="16" t="str">
        <f t="shared" si="78"/>
        <v/>
      </c>
      <c r="J229" s="17" t="str">
        <f t="shared" si="79"/>
        <v/>
      </c>
      <c r="K229" s="10"/>
    </row>
    <row r="230" spans="1:11" ht="19.5" customHeight="1">
      <c r="A230" s="9">
        <v>207</v>
      </c>
      <c r="B230" s="9" t="s">
        <v>444</v>
      </c>
      <c r="C230" s="10" t="s">
        <v>445</v>
      </c>
      <c r="D230" s="11">
        <v>160</v>
      </c>
      <c r="E230" s="12"/>
      <c r="F230" s="13" t="str">
        <f t="shared" si="76"/>
        <v/>
      </c>
      <c r="G230" s="14" t="str">
        <f t="shared" si="77"/>
        <v/>
      </c>
      <c r="H230" s="15"/>
      <c r="I230" s="16" t="str">
        <f t="shared" si="78"/>
        <v/>
      </c>
      <c r="J230" s="17" t="str">
        <f t="shared" si="79"/>
        <v/>
      </c>
      <c r="K230" s="10"/>
    </row>
  </sheetData>
  <mergeCells count="25">
    <mergeCell ref="A220:K220"/>
    <mergeCell ref="A152:K152"/>
    <mergeCell ref="A163:K163"/>
    <mergeCell ref="A175:K175"/>
    <mergeCell ref="A187:K187"/>
    <mergeCell ref="A198:K198"/>
    <mergeCell ref="A209:K209"/>
    <mergeCell ref="D94:K94"/>
    <mergeCell ref="A95:K95"/>
    <mergeCell ref="A106:K106"/>
    <mergeCell ref="A118:K118"/>
    <mergeCell ref="A130:K130"/>
    <mergeCell ref="A141:K141"/>
    <mergeCell ref="A27:K27"/>
    <mergeCell ref="A38:K38"/>
    <mergeCell ref="A49:K49"/>
    <mergeCell ref="A61:K61"/>
    <mergeCell ref="A73:K73"/>
    <mergeCell ref="A84:K84"/>
    <mergeCell ref="A1:K1"/>
    <mergeCell ref="A2:D2"/>
    <mergeCell ref="E2:G2"/>
    <mergeCell ref="H2:J2"/>
    <mergeCell ref="A4:K4"/>
    <mergeCell ref="A16:K16"/>
  </mergeCells>
  <pageMargins left="0.31527777777777799" right="0.31527777777777799" top="0.39374999999999999" bottom="0.39374999999999999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6569-94BC-4EF7-850E-16C3744BF36F}">
  <sheetPr>
    <tabColor theme="6"/>
    <pageSetUpPr fitToPage="1"/>
  </sheetPr>
  <dimension ref="A1:K230"/>
  <sheetViews>
    <sheetView topLeftCell="A202" zoomScaleNormal="100" workbookViewId="0">
      <selection activeCell="G227" sqref="G227"/>
    </sheetView>
  </sheetViews>
  <sheetFormatPr defaultColWidth="8.7109375" defaultRowHeight="15"/>
  <cols>
    <col min="1" max="1" width="7" customWidth="1"/>
    <col min="2" max="2" width="11" customWidth="1"/>
    <col min="3" max="3" width="25" customWidth="1"/>
    <col min="4" max="6" width="11" customWidth="1"/>
    <col min="7" max="7" width="22" customWidth="1"/>
    <col min="8" max="9" width="13" customWidth="1"/>
    <col min="10" max="10" width="22" customWidth="1"/>
    <col min="11" max="11" width="18" customWidth="1"/>
  </cols>
  <sheetData>
    <row r="1" spans="1:11" ht="30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customHeight="1" thickBot="1">
      <c r="A2" s="5"/>
      <c r="B2" s="5"/>
      <c r="C2" s="5"/>
      <c r="D2" s="5"/>
      <c r="E2" s="4" t="s">
        <v>446</v>
      </c>
      <c r="F2" s="4"/>
      <c r="G2" s="4"/>
      <c r="H2" s="3" t="s">
        <v>446</v>
      </c>
      <c r="I2" s="3"/>
      <c r="J2" s="3"/>
      <c r="K2" s="7"/>
    </row>
    <row r="3" spans="1:11" ht="27.75" customHeight="1" thickBo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7</v>
      </c>
      <c r="I3" s="8" t="s">
        <v>8</v>
      </c>
      <c r="J3" s="8" t="s">
        <v>9</v>
      </c>
      <c r="K3" s="8" t="s">
        <v>10</v>
      </c>
    </row>
    <row r="4" spans="1:11" ht="19.5" customHeight="1">
      <c r="A4" s="2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9.5" customHeight="1">
      <c r="A5" s="9">
        <v>1</v>
      </c>
      <c r="B5" s="9" t="s">
        <v>12</v>
      </c>
      <c r="C5" s="10" t="s">
        <v>13</v>
      </c>
      <c r="D5" s="11">
        <v>190</v>
      </c>
      <c r="E5" s="12"/>
      <c r="F5" s="13" t="str">
        <f t="shared" ref="F5:F15" si="0">IF(AND(ISNUMBER(D5), ISNUMBER(E5), D5&gt;0), E5/((D5/100)^2), "")</f>
        <v/>
      </c>
      <c r="G5" s="14" t="str">
        <f t="shared" ref="G5:G15" si="1">IF(F5="","",IF(F5&lt;18.5,"ผอมเกินไป",IF(F5&lt;23,"สมส่วน (ปกติ)",IF(F5&lt;25,"น้ำหนักเกิน (ท้วม)",IF(F5&lt;30,"อ้วนระดับ 1","อ้วนระดับ 2 (อ้วนมาก)")))))</f>
        <v/>
      </c>
      <c r="H5" s="15"/>
      <c r="I5" s="16" t="str">
        <f t="shared" ref="I5:I15" si="2">IF(AND(ISNUMBER(D5), ISNUMBER(H5), D5&gt;0), H5/((D5/100)^2), "")</f>
        <v/>
      </c>
      <c r="J5" s="17" t="str">
        <f t="shared" ref="J5:J15" si="3">IF(I5="","",IF(I5&lt;18.5,"ผอมเกินไป",IF(I5&lt;23,"สมส่วน (ปกติ)",IF(I5&lt;25,"น้ำหนักเกิน (ท้วม)",IF(I5&lt;30,"อ้วนระดับ 1","อ้วนระดับ 2 (อ้วนมาก)")))))</f>
        <v/>
      </c>
      <c r="K5" s="10"/>
    </row>
    <row r="6" spans="1:11" ht="19.5" customHeight="1">
      <c r="A6" s="9">
        <v>2</v>
      </c>
      <c r="B6" s="9" t="s">
        <v>14</v>
      </c>
      <c r="C6" s="10" t="s">
        <v>15</v>
      </c>
      <c r="D6" s="11">
        <v>185</v>
      </c>
      <c r="E6" s="12"/>
      <c r="F6" s="13" t="str">
        <f t="shared" si="0"/>
        <v/>
      </c>
      <c r="G6" s="14" t="str">
        <f t="shared" si="1"/>
        <v/>
      </c>
      <c r="H6" s="15"/>
      <c r="I6" s="16" t="str">
        <f t="shared" si="2"/>
        <v/>
      </c>
      <c r="J6" s="17" t="str">
        <f t="shared" si="3"/>
        <v/>
      </c>
      <c r="K6" s="10"/>
    </row>
    <row r="7" spans="1:11" ht="19.5" customHeight="1">
      <c r="A7" s="9">
        <v>3</v>
      </c>
      <c r="B7" s="9" t="s">
        <v>16</v>
      </c>
      <c r="C7" s="10" t="s">
        <v>17</v>
      </c>
      <c r="D7" s="11">
        <v>181</v>
      </c>
      <c r="E7" s="12"/>
      <c r="F7" s="13" t="str">
        <f t="shared" si="0"/>
        <v/>
      </c>
      <c r="G7" s="14" t="str">
        <f t="shared" si="1"/>
        <v/>
      </c>
      <c r="H7" s="15"/>
      <c r="I7" s="16" t="str">
        <f t="shared" si="2"/>
        <v/>
      </c>
      <c r="J7" s="17" t="str">
        <f t="shared" si="3"/>
        <v/>
      </c>
      <c r="K7" s="10"/>
    </row>
    <row r="8" spans="1:11" ht="19.5" customHeight="1">
      <c r="A8" s="9">
        <v>4</v>
      </c>
      <c r="B8" s="9" t="s">
        <v>18</v>
      </c>
      <c r="C8" s="10" t="s">
        <v>19</v>
      </c>
      <c r="D8" s="11">
        <v>180</v>
      </c>
      <c r="E8" s="12"/>
      <c r="F8" s="13" t="str">
        <f t="shared" si="0"/>
        <v/>
      </c>
      <c r="G8" s="14" t="str">
        <f t="shared" si="1"/>
        <v/>
      </c>
      <c r="H8" s="15"/>
      <c r="I8" s="16" t="str">
        <f t="shared" si="2"/>
        <v/>
      </c>
      <c r="J8" s="17" t="str">
        <f t="shared" si="3"/>
        <v/>
      </c>
      <c r="K8" s="10"/>
    </row>
    <row r="9" spans="1:11" ht="19.5" customHeight="1">
      <c r="A9" s="9">
        <v>5</v>
      </c>
      <c r="B9" s="9" t="s">
        <v>20</v>
      </c>
      <c r="C9" s="10" t="s">
        <v>21</v>
      </c>
      <c r="D9" s="11">
        <v>184</v>
      </c>
      <c r="E9" s="12"/>
      <c r="F9" s="13" t="str">
        <f t="shared" si="0"/>
        <v/>
      </c>
      <c r="G9" s="14" t="str">
        <f t="shared" si="1"/>
        <v/>
      </c>
      <c r="H9" s="15"/>
      <c r="I9" s="16" t="str">
        <f t="shared" si="2"/>
        <v/>
      </c>
      <c r="J9" s="17" t="str">
        <f t="shared" si="3"/>
        <v/>
      </c>
      <c r="K9" s="10"/>
    </row>
    <row r="10" spans="1:11" ht="19.5" customHeight="1">
      <c r="A10" s="9">
        <v>6</v>
      </c>
      <c r="B10" s="9" t="s">
        <v>22</v>
      </c>
      <c r="C10" s="10" t="s">
        <v>23</v>
      </c>
      <c r="D10" s="11">
        <v>184</v>
      </c>
      <c r="E10" s="12"/>
      <c r="F10" s="13" t="str">
        <f t="shared" si="0"/>
        <v/>
      </c>
      <c r="G10" s="14" t="str">
        <f t="shared" si="1"/>
        <v/>
      </c>
      <c r="H10" s="15"/>
      <c r="I10" s="16" t="str">
        <f t="shared" si="2"/>
        <v/>
      </c>
      <c r="J10" s="17" t="str">
        <f t="shared" si="3"/>
        <v/>
      </c>
      <c r="K10" s="10"/>
    </row>
    <row r="11" spans="1:11" ht="19.5" customHeight="1">
      <c r="A11" s="9">
        <v>7</v>
      </c>
      <c r="B11" s="9" t="s">
        <v>24</v>
      </c>
      <c r="C11" s="10" t="s">
        <v>25</v>
      </c>
      <c r="D11" s="11">
        <v>180</v>
      </c>
      <c r="E11" s="12"/>
      <c r="F11" s="13" t="str">
        <f t="shared" si="0"/>
        <v/>
      </c>
      <c r="G11" s="14" t="str">
        <f t="shared" si="1"/>
        <v/>
      </c>
      <c r="H11" s="15"/>
      <c r="I11" s="16" t="str">
        <f t="shared" si="2"/>
        <v/>
      </c>
      <c r="J11" s="17" t="str">
        <f t="shared" si="3"/>
        <v/>
      </c>
      <c r="K11" s="10"/>
    </row>
    <row r="12" spans="1:11" ht="19.5" customHeight="1">
      <c r="A12" s="9">
        <v>8</v>
      </c>
      <c r="B12" s="9" t="s">
        <v>26</v>
      </c>
      <c r="C12" s="10" t="s">
        <v>27</v>
      </c>
      <c r="D12" s="11">
        <v>179</v>
      </c>
      <c r="E12" s="12"/>
      <c r="F12" s="13" t="str">
        <f t="shared" si="0"/>
        <v/>
      </c>
      <c r="G12" s="14" t="str">
        <f t="shared" si="1"/>
        <v/>
      </c>
      <c r="H12" s="15"/>
      <c r="I12" s="16" t="str">
        <f t="shared" si="2"/>
        <v/>
      </c>
      <c r="J12" s="17" t="str">
        <f t="shared" si="3"/>
        <v/>
      </c>
      <c r="K12" s="10"/>
    </row>
    <row r="13" spans="1:11" ht="19.5" customHeight="1">
      <c r="A13" s="9">
        <v>9</v>
      </c>
      <c r="B13" s="9" t="s">
        <v>28</v>
      </c>
      <c r="C13" s="10" t="s">
        <v>29</v>
      </c>
      <c r="D13" s="11">
        <v>178</v>
      </c>
      <c r="E13" s="12"/>
      <c r="F13" s="13" t="str">
        <f t="shared" si="0"/>
        <v/>
      </c>
      <c r="G13" s="14" t="str">
        <f t="shared" si="1"/>
        <v/>
      </c>
      <c r="H13" s="15"/>
      <c r="I13" s="16" t="str">
        <f t="shared" si="2"/>
        <v/>
      </c>
      <c r="J13" s="17" t="str">
        <f t="shared" si="3"/>
        <v/>
      </c>
      <c r="K13" s="10"/>
    </row>
    <row r="14" spans="1:11" ht="19.5" customHeight="1">
      <c r="A14" s="9">
        <v>10</v>
      </c>
      <c r="B14" s="9" t="s">
        <v>30</v>
      </c>
      <c r="C14" s="10" t="s">
        <v>31</v>
      </c>
      <c r="D14" s="11">
        <v>177</v>
      </c>
      <c r="E14" s="12"/>
      <c r="F14" s="13" t="str">
        <f t="shared" si="0"/>
        <v/>
      </c>
      <c r="G14" s="14" t="str">
        <f t="shared" si="1"/>
        <v/>
      </c>
      <c r="H14" s="15"/>
      <c r="I14" s="16" t="str">
        <f t="shared" si="2"/>
        <v/>
      </c>
      <c r="J14" s="17" t="str">
        <f t="shared" si="3"/>
        <v/>
      </c>
      <c r="K14" s="10"/>
    </row>
    <row r="15" spans="1:11" ht="19.5" customHeight="1">
      <c r="A15" s="9">
        <v>11</v>
      </c>
      <c r="B15" s="9" t="s">
        <v>32</v>
      </c>
      <c r="C15" s="10" t="s">
        <v>33</v>
      </c>
      <c r="D15" s="11">
        <v>176</v>
      </c>
      <c r="E15" s="12"/>
      <c r="F15" s="13" t="str">
        <f t="shared" si="0"/>
        <v/>
      </c>
      <c r="G15" s="14" t="str">
        <f t="shared" si="1"/>
        <v/>
      </c>
      <c r="H15" s="15"/>
      <c r="I15" s="16" t="str">
        <f t="shared" si="2"/>
        <v/>
      </c>
      <c r="J15" s="17" t="str">
        <f t="shared" si="3"/>
        <v/>
      </c>
      <c r="K15" s="10"/>
    </row>
    <row r="16" spans="1:11" ht="19.5" customHeight="1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9.5" customHeight="1">
      <c r="A17" s="9">
        <v>12</v>
      </c>
      <c r="B17" s="9" t="s">
        <v>35</v>
      </c>
      <c r="C17" s="10" t="s">
        <v>36</v>
      </c>
      <c r="D17" s="11">
        <v>182</v>
      </c>
      <c r="E17" s="12"/>
      <c r="F17" s="13" t="str">
        <f t="shared" ref="F17:F26" si="4">IF(AND(ISNUMBER(D17), ISNUMBER(E17), D17&gt;0), E17/((D17/100)^2), "")</f>
        <v/>
      </c>
      <c r="G17" s="14" t="str">
        <f t="shared" ref="G17:G26" si="5">IF(F17="","",IF(F17&lt;18.5,"ผอมเกินไป",IF(F17&lt;23,"สมส่วน (ปกติ)",IF(F17&lt;25,"น้ำหนักเกิน (ท้วม)",IF(F17&lt;30,"อ้วนระดับ 1","อ้วนระดับ 2 (อ้วนมาก)")))))</f>
        <v/>
      </c>
      <c r="H17" s="15"/>
      <c r="I17" s="16" t="str">
        <f t="shared" ref="I17:I26" si="6">IF(AND(ISNUMBER(D17), ISNUMBER(H17), D17&gt;0), H17/((D17/100)^2), "")</f>
        <v/>
      </c>
      <c r="J17" s="17" t="str">
        <f t="shared" ref="J17:J26" si="7">IF(I17="","",IF(I17&lt;18.5,"ผอมเกินไป",IF(I17&lt;23,"สมส่วน (ปกติ)",IF(I17&lt;25,"น้ำหนักเกิน (ท้วม)",IF(I17&lt;30,"อ้วนระดับ 1","อ้วนระดับ 2 (อ้วนมาก)")))))</f>
        <v/>
      </c>
      <c r="K17" s="10"/>
    </row>
    <row r="18" spans="1:11" ht="19.5" customHeight="1">
      <c r="A18" s="9">
        <v>13</v>
      </c>
      <c r="B18" s="9" t="s">
        <v>37</v>
      </c>
      <c r="C18" s="10" t="s">
        <v>38</v>
      </c>
      <c r="D18" s="11">
        <v>184</v>
      </c>
      <c r="E18" s="12"/>
      <c r="F18" s="13" t="str">
        <f t="shared" si="4"/>
        <v/>
      </c>
      <c r="G18" s="14" t="str">
        <f t="shared" si="5"/>
        <v/>
      </c>
      <c r="H18" s="15"/>
      <c r="I18" s="16" t="str">
        <f t="shared" si="6"/>
        <v/>
      </c>
      <c r="J18" s="17" t="str">
        <f t="shared" si="7"/>
        <v/>
      </c>
      <c r="K18" s="10"/>
    </row>
    <row r="19" spans="1:11" ht="19.5" customHeight="1">
      <c r="A19" s="9">
        <v>14</v>
      </c>
      <c r="B19" s="9" t="s">
        <v>39</v>
      </c>
      <c r="C19" s="10" t="s">
        <v>40</v>
      </c>
      <c r="D19" s="11">
        <v>183</v>
      </c>
      <c r="E19" s="12"/>
      <c r="F19" s="13" t="str">
        <f t="shared" si="4"/>
        <v/>
      </c>
      <c r="G19" s="14" t="str">
        <f t="shared" si="5"/>
        <v/>
      </c>
      <c r="H19" s="15"/>
      <c r="I19" s="16" t="str">
        <f t="shared" si="6"/>
        <v/>
      </c>
      <c r="J19" s="17" t="str">
        <f t="shared" si="7"/>
        <v/>
      </c>
      <c r="K19" s="10"/>
    </row>
    <row r="20" spans="1:11" ht="19.5" customHeight="1">
      <c r="A20" s="9">
        <v>15</v>
      </c>
      <c r="B20" s="9" t="s">
        <v>41</v>
      </c>
      <c r="C20" s="10" t="s">
        <v>42</v>
      </c>
      <c r="D20" s="11">
        <v>181</v>
      </c>
      <c r="E20" s="12"/>
      <c r="F20" s="13" t="str">
        <f t="shared" si="4"/>
        <v/>
      </c>
      <c r="G20" s="14" t="str">
        <f t="shared" si="5"/>
        <v/>
      </c>
      <c r="H20" s="15"/>
      <c r="I20" s="16" t="str">
        <f t="shared" si="6"/>
        <v/>
      </c>
      <c r="J20" s="17" t="str">
        <f t="shared" si="7"/>
        <v/>
      </c>
      <c r="K20" s="10"/>
    </row>
    <row r="21" spans="1:11" ht="19.5" customHeight="1">
      <c r="A21" s="9">
        <v>16</v>
      </c>
      <c r="B21" s="9" t="s">
        <v>43</v>
      </c>
      <c r="C21" s="10" t="s">
        <v>44</v>
      </c>
      <c r="D21" s="11">
        <v>181</v>
      </c>
      <c r="E21" s="12"/>
      <c r="F21" s="13" t="str">
        <f t="shared" si="4"/>
        <v/>
      </c>
      <c r="G21" s="14" t="str">
        <f t="shared" si="5"/>
        <v/>
      </c>
      <c r="H21" s="15"/>
      <c r="I21" s="16" t="str">
        <f t="shared" si="6"/>
        <v/>
      </c>
      <c r="J21" s="17" t="str">
        <f t="shared" si="7"/>
        <v/>
      </c>
      <c r="K21" s="10"/>
    </row>
    <row r="22" spans="1:11" ht="19.5" customHeight="1">
      <c r="A22" s="9">
        <v>17</v>
      </c>
      <c r="B22" s="9" t="s">
        <v>45</v>
      </c>
      <c r="C22" s="10" t="s">
        <v>46</v>
      </c>
      <c r="D22" s="11">
        <v>180</v>
      </c>
      <c r="E22" s="12"/>
      <c r="F22" s="13" t="str">
        <f t="shared" si="4"/>
        <v/>
      </c>
      <c r="G22" s="14" t="str">
        <f t="shared" si="5"/>
        <v/>
      </c>
      <c r="H22" s="15"/>
      <c r="I22" s="16" t="str">
        <f t="shared" si="6"/>
        <v/>
      </c>
      <c r="J22" s="17" t="str">
        <f t="shared" si="7"/>
        <v/>
      </c>
      <c r="K22" s="10"/>
    </row>
    <row r="23" spans="1:11" ht="19.5" customHeight="1">
      <c r="A23" s="9">
        <v>18</v>
      </c>
      <c r="B23" s="9" t="s">
        <v>47</v>
      </c>
      <c r="C23" s="10" t="s">
        <v>48</v>
      </c>
      <c r="D23" s="11">
        <v>180</v>
      </c>
      <c r="E23" s="12"/>
      <c r="F23" s="13" t="str">
        <f t="shared" si="4"/>
        <v/>
      </c>
      <c r="G23" s="14" t="str">
        <f t="shared" si="5"/>
        <v/>
      </c>
      <c r="H23" s="15"/>
      <c r="I23" s="16" t="str">
        <f t="shared" si="6"/>
        <v/>
      </c>
      <c r="J23" s="17" t="str">
        <f t="shared" si="7"/>
        <v/>
      </c>
      <c r="K23" s="10"/>
    </row>
    <row r="24" spans="1:11" ht="19.5" customHeight="1">
      <c r="A24" s="9">
        <v>19</v>
      </c>
      <c r="B24" s="9" t="s">
        <v>49</v>
      </c>
      <c r="C24" s="10" t="s">
        <v>50</v>
      </c>
      <c r="D24" s="11">
        <v>180</v>
      </c>
      <c r="E24" s="12"/>
      <c r="F24" s="13" t="str">
        <f t="shared" si="4"/>
        <v/>
      </c>
      <c r="G24" s="14" t="str">
        <f t="shared" si="5"/>
        <v/>
      </c>
      <c r="H24" s="15"/>
      <c r="I24" s="16" t="str">
        <f t="shared" si="6"/>
        <v/>
      </c>
      <c r="J24" s="17" t="str">
        <f t="shared" si="7"/>
        <v/>
      </c>
      <c r="K24" s="10"/>
    </row>
    <row r="25" spans="1:11" ht="19.5" customHeight="1">
      <c r="A25" s="9">
        <v>20</v>
      </c>
      <c r="B25" s="9" t="s">
        <v>51</v>
      </c>
      <c r="C25" s="10" t="s">
        <v>52</v>
      </c>
      <c r="D25" s="11">
        <v>178</v>
      </c>
      <c r="E25" s="12"/>
      <c r="F25" s="13" t="str">
        <f t="shared" si="4"/>
        <v/>
      </c>
      <c r="G25" s="14" t="str">
        <f t="shared" si="5"/>
        <v/>
      </c>
      <c r="H25" s="15"/>
      <c r="I25" s="16" t="str">
        <f t="shared" si="6"/>
        <v/>
      </c>
      <c r="J25" s="17" t="str">
        <f t="shared" si="7"/>
        <v/>
      </c>
      <c r="K25" s="10"/>
    </row>
    <row r="26" spans="1:11" ht="19.5" customHeight="1">
      <c r="A26" s="9">
        <v>21</v>
      </c>
      <c r="B26" s="9" t="s">
        <v>53</v>
      </c>
      <c r="C26" s="10" t="s">
        <v>54</v>
      </c>
      <c r="D26" s="11">
        <v>177</v>
      </c>
      <c r="E26" s="12"/>
      <c r="F26" s="13" t="str">
        <f t="shared" si="4"/>
        <v/>
      </c>
      <c r="G26" s="14" t="str">
        <f t="shared" si="5"/>
        <v/>
      </c>
      <c r="H26" s="15"/>
      <c r="I26" s="16" t="str">
        <f t="shared" si="6"/>
        <v/>
      </c>
      <c r="J26" s="17" t="str">
        <f t="shared" si="7"/>
        <v/>
      </c>
      <c r="K26" s="10"/>
    </row>
    <row r="27" spans="1:11" ht="19.5" customHeight="1">
      <c r="A27" s="2" t="s">
        <v>55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9.5" customHeight="1">
      <c r="A28" s="9">
        <v>22</v>
      </c>
      <c r="B28" s="9" t="s">
        <v>56</v>
      </c>
      <c r="C28" s="10" t="s">
        <v>57</v>
      </c>
      <c r="D28" s="11">
        <v>184</v>
      </c>
      <c r="E28" s="12"/>
      <c r="F28" s="13" t="str">
        <f t="shared" ref="F28:F37" si="8">IF(AND(ISNUMBER(D28), ISNUMBER(E28), D28&gt;0), E28/((D28/100)^2), "")</f>
        <v/>
      </c>
      <c r="G28" s="14" t="str">
        <f t="shared" ref="G28:G37" si="9">IF(F28="","",IF(F28&lt;18.5,"ผอมเกินไป",IF(F28&lt;23,"สมส่วน (ปกติ)",IF(F28&lt;25,"น้ำหนักเกิน (ท้วม)",IF(F28&lt;30,"อ้วนระดับ 1","อ้วนระดับ 2 (อ้วนมาก)")))))</f>
        <v/>
      </c>
      <c r="H28" s="15"/>
      <c r="I28" s="16" t="str">
        <f t="shared" ref="I28:I37" si="10">IF(AND(ISNUMBER(D28), ISNUMBER(H28), D28&gt;0), H28/((D28/100)^2), "")</f>
        <v/>
      </c>
      <c r="J28" s="17" t="str">
        <f t="shared" ref="J28:J37" si="11">IF(I28="","",IF(I28&lt;18.5,"ผอมเกินไป",IF(I28&lt;23,"สมส่วน (ปกติ)",IF(I28&lt;25,"น้ำหนักเกิน (ท้วม)",IF(I28&lt;30,"อ้วนระดับ 1","อ้วนระดับ 2 (อ้วนมาก)")))))</f>
        <v/>
      </c>
      <c r="K28" s="10"/>
    </row>
    <row r="29" spans="1:11" ht="19.5" customHeight="1">
      <c r="A29" s="9">
        <v>23</v>
      </c>
      <c r="B29" s="9" t="s">
        <v>58</v>
      </c>
      <c r="C29" s="10" t="s">
        <v>59</v>
      </c>
      <c r="D29" s="11">
        <v>183</v>
      </c>
      <c r="E29" s="12"/>
      <c r="F29" s="13" t="str">
        <f t="shared" si="8"/>
        <v/>
      </c>
      <c r="G29" s="14" t="str">
        <f t="shared" si="9"/>
        <v/>
      </c>
      <c r="H29" s="15"/>
      <c r="I29" s="16" t="str">
        <f t="shared" si="10"/>
        <v/>
      </c>
      <c r="J29" s="17" t="str">
        <f t="shared" si="11"/>
        <v/>
      </c>
      <c r="K29" s="10"/>
    </row>
    <row r="30" spans="1:11" ht="19.5" customHeight="1">
      <c r="A30" s="9">
        <v>24</v>
      </c>
      <c r="B30" s="9" t="s">
        <v>60</v>
      </c>
      <c r="C30" s="10" t="s">
        <v>61</v>
      </c>
      <c r="D30" s="11">
        <v>182</v>
      </c>
      <c r="E30" s="12"/>
      <c r="F30" s="13" t="str">
        <f t="shared" si="8"/>
        <v/>
      </c>
      <c r="G30" s="14" t="str">
        <f t="shared" si="9"/>
        <v/>
      </c>
      <c r="H30" s="15"/>
      <c r="I30" s="16" t="str">
        <f t="shared" si="10"/>
        <v/>
      </c>
      <c r="J30" s="17" t="str">
        <f t="shared" si="11"/>
        <v/>
      </c>
      <c r="K30" s="10"/>
    </row>
    <row r="31" spans="1:11" ht="19.5" customHeight="1">
      <c r="A31" s="9">
        <v>25</v>
      </c>
      <c r="B31" s="9" t="s">
        <v>62</v>
      </c>
      <c r="C31" s="10" t="s">
        <v>63</v>
      </c>
      <c r="D31" s="11">
        <v>180</v>
      </c>
      <c r="E31" s="12"/>
      <c r="F31" s="13" t="str">
        <f t="shared" si="8"/>
        <v/>
      </c>
      <c r="G31" s="14" t="str">
        <f t="shared" si="9"/>
        <v/>
      </c>
      <c r="H31" s="15"/>
      <c r="I31" s="16" t="str">
        <f t="shared" si="10"/>
        <v/>
      </c>
      <c r="J31" s="17" t="str">
        <f t="shared" si="11"/>
        <v/>
      </c>
      <c r="K31" s="10"/>
    </row>
    <row r="32" spans="1:11" ht="19.5" customHeight="1">
      <c r="A32" s="9">
        <v>26</v>
      </c>
      <c r="B32" s="9" t="s">
        <v>64</v>
      </c>
      <c r="C32" s="10" t="s">
        <v>65</v>
      </c>
      <c r="D32" s="11">
        <v>182</v>
      </c>
      <c r="E32" s="12"/>
      <c r="F32" s="13" t="str">
        <f t="shared" si="8"/>
        <v/>
      </c>
      <c r="G32" s="14" t="str">
        <f t="shared" si="9"/>
        <v/>
      </c>
      <c r="H32" s="15"/>
      <c r="I32" s="16" t="str">
        <f t="shared" si="10"/>
        <v/>
      </c>
      <c r="J32" s="17" t="str">
        <f t="shared" si="11"/>
        <v/>
      </c>
      <c r="K32" s="10"/>
    </row>
    <row r="33" spans="1:11" ht="19.5" customHeight="1">
      <c r="A33" s="9">
        <v>27</v>
      </c>
      <c r="B33" s="9" t="s">
        <v>66</v>
      </c>
      <c r="C33" s="10" t="s">
        <v>67</v>
      </c>
      <c r="D33" s="11">
        <v>183</v>
      </c>
      <c r="E33" s="12"/>
      <c r="F33" s="13" t="str">
        <f t="shared" si="8"/>
        <v/>
      </c>
      <c r="G33" s="14" t="str">
        <f t="shared" si="9"/>
        <v/>
      </c>
      <c r="H33" s="15"/>
      <c r="I33" s="16" t="str">
        <f t="shared" si="10"/>
        <v/>
      </c>
      <c r="J33" s="17" t="str">
        <f t="shared" si="11"/>
        <v/>
      </c>
      <c r="K33" s="10"/>
    </row>
    <row r="34" spans="1:11" ht="19.5" customHeight="1">
      <c r="A34" s="9">
        <v>28</v>
      </c>
      <c r="B34" s="9" t="s">
        <v>68</v>
      </c>
      <c r="C34" s="10" t="s">
        <v>69</v>
      </c>
      <c r="D34" s="11">
        <v>179</v>
      </c>
      <c r="E34" s="12"/>
      <c r="F34" s="13" t="str">
        <f t="shared" si="8"/>
        <v/>
      </c>
      <c r="G34" s="14" t="str">
        <f t="shared" si="9"/>
        <v/>
      </c>
      <c r="H34" s="15"/>
      <c r="I34" s="16" t="str">
        <f t="shared" si="10"/>
        <v/>
      </c>
      <c r="J34" s="17" t="str">
        <f t="shared" si="11"/>
        <v/>
      </c>
      <c r="K34" s="10"/>
    </row>
    <row r="35" spans="1:11" ht="19.5" customHeight="1">
      <c r="A35" s="9">
        <v>29</v>
      </c>
      <c r="B35" s="9" t="s">
        <v>70</v>
      </c>
      <c r="C35" s="10" t="s">
        <v>71</v>
      </c>
      <c r="D35" s="11">
        <v>180</v>
      </c>
      <c r="E35" s="12"/>
      <c r="F35" s="13" t="str">
        <f t="shared" si="8"/>
        <v/>
      </c>
      <c r="G35" s="14" t="str">
        <f t="shared" si="9"/>
        <v/>
      </c>
      <c r="H35" s="15"/>
      <c r="I35" s="16" t="str">
        <f t="shared" si="10"/>
        <v/>
      </c>
      <c r="J35" s="17" t="str">
        <f t="shared" si="11"/>
        <v/>
      </c>
      <c r="K35" s="10"/>
    </row>
    <row r="36" spans="1:11" ht="19.5" customHeight="1">
      <c r="A36" s="9">
        <v>30</v>
      </c>
      <c r="B36" s="9" t="s">
        <v>72</v>
      </c>
      <c r="C36" s="10" t="s">
        <v>73</v>
      </c>
      <c r="D36" s="11">
        <v>178</v>
      </c>
      <c r="E36" s="12"/>
      <c r="F36" s="13" t="str">
        <f t="shared" si="8"/>
        <v/>
      </c>
      <c r="G36" s="14" t="str">
        <f t="shared" si="9"/>
        <v/>
      </c>
      <c r="H36" s="15"/>
      <c r="I36" s="16" t="str">
        <f t="shared" si="10"/>
        <v/>
      </c>
      <c r="J36" s="17" t="str">
        <f t="shared" si="11"/>
        <v/>
      </c>
      <c r="K36" s="10"/>
    </row>
    <row r="37" spans="1:11" ht="19.5" customHeight="1">
      <c r="A37" s="9">
        <v>31</v>
      </c>
      <c r="B37" s="9" t="s">
        <v>74</v>
      </c>
      <c r="C37" s="10" t="s">
        <v>75</v>
      </c>
      <c r="D37" s="11">
        <v>177</v>
      </c>
      <c r="E37" s="12"/>
      <c r="F37" s="13" t="str">
        <f t="shared" si="8"/>
        <v/>
      </c>
      <c r="G37" s="14" t="str">
        <f t="shared" si="9"/>
        <v/>
      </c>
      <c r="H37" s="15"/>
      <c r="I37" s="16" t="str">
        <f t="shared" si="10"/>
        <v/>
      </c>
      <c r="J37" s="17" t="str">
        <f t="shared" si="11"/>
        <v/>
      </c>
      <c r="K37" s="10"/>
    </row>
    <row r="38" spans="1:11" ht="19.5" customHeight="1">
      <c r="A38" s="2" t="s">
        <v>76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9.5" customHeight="1">
      <c r="A39" s="9">
        <v>32</v>
      </c>
      <c r="B39" s="9" t="s">
        <v>77</v>
      </c>
      <c r="C39" s="10" t="s">
        <v>78</v>
      </c>
      <c r="D39" s="11">
        <v>183</v>
      </c>
      <c r="E39" s="12"/>
      <c r="F39" s="13" t="str">
        <f t="shared" ref="F39:F48" si="12">IF(AND(ISNUMBER(D39), ISNUMBER(E39), D39&gt;0), E39/((D39/100)^2), "")</f>
        <v/>
      </c>
      <c r="G39" s="14" t="str">
        <f t="shared" ref="G39:G48" si="13">IF(F39="","",IF(F39&lt;18.5,"ผอมเกินไป",IF(F39&lt;23,"สมส่วน (ปกติ)",IF(F39&lt;25,"น้ำหนักเกิน (ท้วม)",IF(F39&lt;30,"อ้วนระดับ 1","อ้วนระดับ 2 (อ้วนมาก)")))))</f>
        <v/>
      </c>
      <c r="H39" s="15"/>
      <c r="I39" s="16" t="str">
        <f t="shared" ref="I39:I48" si="14">IF(AND(ISNUMBER(D39), ISNUMBER(H39), D39&gt;0), H39/((D39/100)^2), "")</f>
        <v/>
      </c>
      <c r="J39" s="17" t="str">
        <f t="shared" ref="J39:J48" si="15">IF(I39="","",IF(I39&lt;18.5,"ผอมเกินไป",IF(I39&lt;23,"สมส่วน (ปกติ)",IF(I39&lt;25,"น้ำหนักเกิน (ท้วม)",IF(I39&lt;30,"อ้วนระดับ 1","อ้วนระดับ 2 (อ้วนมาก)")))))</f>
        <v/>
      </c>
      <c r="K39" s="10"/>
    </row>
    <row r="40" spans="1:11" ht="19.5" customHeight="1">
      <c r="A40" s="9">
        <v>33</v>
      </c>
      <c r="B40" s="9" t="s">
        <v>79</v>
      </c>
      <c r="C40" s="10" t="s">
        <v>80</v>
      </c>
      <c r="D40" s="11">
        <v>182</v>
      </c>
      <c r="E40" s="12"/>
      <c r="F40" s="13" t="str">
        <f t="shared" si="12"/>
        <v/>
      </c>
      <c r="G40" s="14" t="str">
        <f t="shared" si="13"/>
        <v/>
      </c>
      <c r="H40" s="15"/>
      <c r="I40" s="16" t="str">
        <f t="shared" si="14"/>
        <v/>
      </c>
      <c r="J40" s="17" t="str">
        <f t="shared" si="15"/>
        <v/>
      </c>
      <c r="K40" s="10"/>
    </row>
    <row r="41" spans="1:11" ht="19.5" customHeight="1">
      <c r="A41" s="9">
        <v>34</v>
      </c>
      <c r="B41" s="9" t="s">
        <v>81</v>
      </c>
      <c r="C41" s="10" t="s">
        <v>82</v>
      </c>
      <c r="D41" s="11">
        <v>183</v>
      </c>
      <c r="E41" s="12"/>
      <c r="F41" s="13" t="str">
        <f t="shared" si="12"/>
        <v/>
      </c>
      <c r="G41" s="14" t="str">
        <f t="shared" si="13"/>
        <v/>
      </c>
      <c r="H41" s="15"/>
      <c r="I41" s="16" t="str">
        <f t="shared" si="14"/>
        <v/>
      </c>
      <c r="J41" s="17" t="str">
        <f t="shared" si="15"/>
        <v/>
      </c>
      <c r="K41" s="10"/>
    </row>
    <row r="42" spans="1:11" ht="19.5" customHeight="1">
      <c r="A42" s="9">
        <v>35</v>
      </c>
      <c r="B42" s="9" t="s">
        <v>83</v>
      </c>
      <c r="C42" s="10" t="s">
        <v>84</v>
      </c>
      <c r="D42" s="11">
        <v>182</v>
      </c>
      <c r="E42" s="12"/>
      <c r="F42" s="13" t="str">
        <f t="shared" si="12"/>
        <v/>
      </c>
      <c r="G42" s="14" t="str">
        <f t="shared" si="13"/>
        <v/>
      </c>
      <c r="H42" s="15"/>
      <c r="I42" s="16" t="str">
        <f t="shared" si="14"/>
        <v/>
      </c>
      <c r="J42" s="17" t="str">
        <f t="shared" si="15"/>
        <v/>
      </c>
      <c r="K42" s="10"/>
    </row>
    <row r="43" spans="1:11" ht="19.5" customHeight="1">
      <c r="A43" s="9">
        <v>36</v>
      </c>
      <c r="B43" s="9" t="s">
        <v>85</v>
      </c>
      <c r="C43" s="10" t="s">
        <v>86</v>
      </c>
      <c r="D43" s="11">
        <v>180</v>
      </c>
      <c r="E43" s="12"/>
      <c r="F43" s="13" t="str">
        <f t="shared" si="12"/>
        <v/>
      </c>
      <c r="G43" s="14" t="str">
        <f t="shared" si="13"/>
        <v/>
      </c>
      <c r="H43" s="15"/>
      <c r="I43" s="16" t="str">
        <f t="shared" si="14"/>
        <v/>
      </c>
      <c r="J43" s="17" t="str">
        <f t="shared" si="15"/>
        <v/>
      </c>
      <c r="K43" s="10"/>
    </row>
    <row r="44" spans="1:11" ht="19.5" customHeight="1">
      <c r="A44" s="9">
        <v>37</v>
      </c>
      <c r="B44" s="9" t="s">
        <v>87</v>
      </c>
      <c r="C44" s="10" t="s">
        <v>88</v>
      </c>
      <c r="D44" s="11">
        <v>180</v>
      </c>
      <c r="E44" s="12"/>
      <c r="F44" s="13" t="str">
        <f t="shared" si="12"/>
        <v/>
      </c>
      <c r="G44" s="14" t="str">
        <f t="shared" si="13"/>
        <v/>
      </c>
      <c r="H44" s="15"/>
      <c r="I44" s="16" t="str">
        <f t="shared" si="14"/>
        <v/>
      </c>
      <c r="J44" s="17" t="str">
        <f t="shared" si="15"/>
        <v/>
      </c>
      <c r="K44" s="10"/>
    </row>
    <row r="45" spans="1:11" ht="19.5" customHeight="1">
      <c r="A45" s="9">
        <v>38</v>
      </c>
      <c r="B45" s="9" t="s">
        <v>89</v>
      </c>
      <c r="C45" s="10" t="s">
        <v>90</v>
      </c>
      <c r="D45" s="11">
        <v>179</v>
      </c>
      <c r="E45" s="12"/>
      <c r="F45" s="13" t="str">
        <f t="shared" si="12"/>
        <v/>
      </c>
      <c r="G45" s="14" t="str">
        <f t="shared" si="13"/>
        <v/>
      </c>
      <c r="H45" s="15"/>
      <c r="I45" s="16" t="str">
        <f t="shared" si="14"/>
        <v/>
      </c>
      <c r="J45" s="17" t="str">
        <f t="shared" si="15"/>
        <v/>
      </c>
      <c r="K45" s="10"/>
    </row>
    <row r="46" spans="1:11" ht="19.5" customHeight="1">
      <c r="A46" s="9">
        <v>39</v>
      </c>
      <c r="B46" s="9" t="s">
        <v>91</v>
      </c>
      <c r="C46" s="10" t="s">
        <v>92</v>
      </c>
      <c r="D46" s="11">
        <v>179</v>
      </c>
      <c r="E46" s="12"/>
      <c r="F46" s="13" t="str">
        <f t="shared" si="12"/>
        <v/>
      </c>
      <c r="G46" s="14" t="str">
        <f t="shared" si="13"/>
        <v/>
      </c>
      <c r="H46" s="15"/>
      <c r="I46" s="16" t="str">
        <f t="shared" si="14"/>
        <v/>
      </c>
      <c r="J46" s="17" t="str">
        <f t="shared" si="15"/>
        <v/>
      </c>
      <c r="K46" s="10"/>
    </row>
    <row r="47" spans="1:11" ht="19.5" customHeight="1">
      <c r="A47" s="9">
        <v>40</v>
      </c>
      <c r="B47" s="9" t="s">
        <v>93</v>
      </c>
      <c r="C47" s="10" t="s">
        <v>94</v>
      </c>
      <c r="D47" s="11">
        <v>179</v>
      </c>
      <c r="E47" s="12"/>
      <c r="F47" s="13" t="str">
        <f t="shared" si="12"/>
        <v/>
      </c>
      <c r="G47" s="14" t="str">
        <f t="shared" si="13"/>
        <v/>
      </c>
      <c r="H47" s="15"/>
      <c r="I47" s="16" t="str">
        <f t="shared" si="14"/>
        <v/>
      </c>
      <c r="J47" s="17" t="str">
        <f t="shared" si="15"/>
        <v/>
      </c>
      <c r="K47" s="10"/>
    </row>
    <row r="48" spans="1:11" ht="19.5" customHeight="1">
      <c r="A48" s="9">
        <v>41</v>
      </c>
      <c r="B48" s="9" t="s">
        <v>95</v>
      </c>
      <c r="C48" s="10" t="s">
        <v>96</v>
      </c>
      <c r="D48" s="11">
        <v>177</v>
      </c>
      <c r="E48" s="12"/>
      <c r="F48" s="13" t="str">
        <f t="shared" si="12"/>
        <v/>
      </c>
      <c r="G48" s="14" t="str">
        <f t="shared" si="13"/>
        <v/>
      </c>
      <c r="H48" s="15"/>
      <c r="I48" s="16" t="str">
        <f t="shared" si="14"/>
        <v/>
      </c>
      <c r="J48" s="17" t="str">
        <f t="shared" si="15"/>
        <v/>
      </c>
      <c r="K48" s="10"/>
    </row>
    <row r="49" spans="1:11" ht="19.5" customHeight="1">
      <c r="A49" s="2" t="s">
        <v>97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9.5" customHeight="1">
      <c r="A50" s="9">
        <v>42</v>
      </c>
      <c r="B50" s="9" t="s">
        <v>98</v>
      </c>
      <c r="C50" s="10" t="s">
        <v>99</v>
      </c>
      <c r="D50" s="11">
        <v>183</v>
      </c>
      <c r="E50" s="12"/>
      <c r="F50" s="13" t="str">
        <f t="shared" ref="F50:F60" si="16">IF(AND(ISNUMBER(D50), ISNUMBER(E50), D50&gt;0), E50/((D50/100)^2), "")</f>
        <v/>
      </c>
      <c r="G50" s="14" t="str">
        <f t="shared" ref="G50:G60" si="17">IF(F50="","",IF(F50&lt;18.5,"ผอมเกินไป",IF(F50&lt;23,"สมส่วน (ปกติ)",IF(F50&lt;25,"น้ำหนักเกิน (ท้วม)",IF(F50&lt;30,"อ้วนระดับ 1","อ้วนระดับ 2 (อ้วนมาก)")))))</f>
        <v/>
      </c>
      <c r="H50" s="15"/>
      <c r="I50" s="16" t="str">
        <f t="shared" ref="I50:I60" si="18">IF(AND(ISNUMBER(D50), ISNUMBER(H50), D50&gt;0), H50/((D50/100)^2), "")</f>
        <v/>
      </c>
      <c r="J50" s="17" t="str">
        <f t="shared" ref="J50:J60" si="19">IF(I50="","",IF(I50&lt;18.5,"ผอมเกินไป",IF(I50&lt;23,"สมส่วน (ปกติ)",IF(I50&lt;25,"น้ำหนักเกิน (ท้วม)",IF(I50&lt;30,"อ้วนระดับ 1","อ้วนระดับ 2 (อ้วนมาก)")))))</f>
        <v/>
      </c>
      <c r="K50" s="10"/>
    </row>
    <row r="51" spans="1:11" ht="19.5" customHeight="1">
      <c r="A51" s="9">
        <v>43</v>
      </c>
      <c r="B51" s="9" t="s">
        <v>100</v>
      </c>
      <c r="C51" s="10" t="s">
        <v>101</v>
      </c>
      <c r="D51" s="11">
        <v>183</v>
      </c>
      <c r="E51" s="12"/>
      <c r="F51" s="13" t="str">
        <f t="shared" si="16"/>
        <v/>
      </c>
      <c r="G51" s="14" t="str">
        <f t="shared" si="17"/>
        <v/>
      </c>
      <c r="H51" s="15"/>
      <c r="I51" s="16" t="str">
        <f t="shared" si="18"/>
        <v/>
      </c>
      <c r="J51" s="17" t="str">
        <f t="shared" si="19"/>
        <v/>
      </c>
      <c r="K51" s="10"/>
    </row>
    <row r="52" spans="1:11" ht="19.5" customHeight="1">
      <c r="A52" s="9">
        <v>44</v>
      </c>
      <c r="B52" s="9" t="s">
        <v>102</v>
      </c>
      <c r="C52" s="10" t="s">
        <v>103</v>
      </c>
      <c r="D52" s="11">
        <v>181</v>
      </c>
      <c r="E52" s="12"/>
      <c r="F52" s="13" t="str">
        <f t="shared" si="16"/>
        <v/>
      </c>
      <c r="G52" s="14" t="str">
        <f t="shared" si="17"/>
        <v/>
      </c>
      <c r="H52" s="15"/>
      <c r="I52" s="16" t="str">
        <f t="shared" si="18"/>
        <v/>
      </c>
      <c r="J52" s="17" t="str">
        <f t="shared" si="19"/>
        <v/>
      </c>
      <c r="K52" s="10"/>
    </row>
    <row r="53" spans="1:11" ht="19.5" customHeight="1">
      <c r="A53" s="9">
        <v>45</v>
      </c>
      <c r="B53" s="9" t="s">
        <v>104</v>
      </c>
      <c r="C53" s="10" t="s">
        <v>105</v>
      </c>
      <c r="D53" s="11">
        <v>180</v>
      </c>
      <c r="E53" s="12"/>
      <c r="F53" s="13" t="str">
        <f t="shared" si="16"/>
        <v/>
      </c>
      <c r="G53" s="14" t="str">
        <f t="shared" si="17"/>
        <v/>
      </c>
      <c r="H53" s="15"/>
      <c r="I53" s="16" t="str">
        <f t="shared" si="18"/>
        <v/>
      </c>
      <c r="J53" s="17" t="str">
        <f t="shared" si="19"/>
        <v/>
      </c>
      <c r="K53" s="10"/>
    </row>
    <row r="54" spans="1:11" ht="19.5" customHeight="1">
      <c r="A54" s="9">
        <v>46</v>
      </c>
      <c r="B54" s="9" t="s">
        <v>106</v>
      </c>
      <c r="C54" s="10" t="s">
        <v>107</v>
      </c>
      <c r="D54" s="11">
        <v>180</v>
      </c>
      <c r="E54" s="12"/>
      <c r="F54" s="13" t="str">
        <f t="shared" si="16"/>
        <v/>
      </c>
      <c r="G54" s="14" t="str">
        <f t="shared" si="17"/>
        <v/>
      </c>
      <c r="H54" s="15"/>
      <c r="I54" s="16" t="str">
        <f t="shared" si="18"/>
        <v/>
      </c>
      <c r="J54" s="17" t="str">
        <f t="shared" si="19"/>
        <v/>
      </c>
      <c r="K54" s="10"/>
    </row>
    <row r="55" spans="1:11" ht="19.5" customHeight="1">
      <c r="A55" s="9">
        <v>47</v>
      </c>
      <c r="B55" s="9" t="s">
        <v>108</v>
      </c>
      <c r="C55" s="10" t="s">
        <v>109</v>
      </c>
      <c r="D55" s="11">
        <v>179</v>
      </c>
      <c r="E55" s="12"/>
      <c r="F55" s="13" t="str">
        <f t="shared" si="16"/>
        <v/>
      </c>
      <c r="G55" s="14" t="str">
        <f t="shared" si="17"/>
        <v/>
      </c>
      <c r="H55" s="15"/>
      <c r="I55" s="16" t="str">
        <f t="shared" si="18"/>
        <v/>
      </c>
      <c r="J55" s="17" t="str">
        <f t="shared" si="19"/>
        <v/>
      </c>
      <c r="K55" s="10"/>
    </row>
    <row r="56" spans="1:11" ht="19.5" customHeight="1">
      <c r="A56" s="9">
        <v>48</v>
      </c>
      <c r="B56" s="9" t="s">
        <v>110</v>
      </c>
      <c r="C56" s="10" t="s">
        <v>111</v>
      </c>
      <c r="D56" s="11">
        <v>179</v>
      </c>
      <c r="E56" s="12"/>
      <c r="F56" s="13" t="str">
        <f t="shared" si="16"/>
        <v/>
      </c>
      <c r="G56" s="14" t="str">
        <f t="shared" si="17"/>
        <v/>
      </c>
      <c r="H56" s="15"/>
      <c r="I56" s="16" t="str">
        <f t="shared" si="18"/>
        <v/>
      </c>
      <c r="J56" s="17" t="str">
        <f t="shared" si="19"/>
        <v/>
      </c>
      <c r="K56" s="10"/>
    </row>
    <row r="57" spans="1:11" ht="19.5" customHeight="1">
      <c r="A57" s="9">
        <v>49</v>
      </c>
      <c r="B57" s="9" t="s">
        <v>112</v>
      </c>
      <c r="C57" s="10" t="s">
        <v>113</v>
      </c>
      <c r="D57" s="11">
        <v>179</v>
      </c>
      <c r="E57" s="12"/>
      <c r="F57" s="13" t="str">
        <f t="shared" si="16"/>
        <v/>
      </c>
      <c r="G57" s="14" t="str">
        <f t="shared" si="17"/>
        <v/>
      </c>
      <c r="H57" s="15"/>
      <c r="I57" s="16" t="str">
        <f t="shared" si="18"/>
        <v/>
      </c>
      <c r="J57" s="17" t="str">
        <f t="shared" si="19"/>
        <v/>
      </c>
      <c r="K57" s="10"/>
    </row>
    <row r="58" spans="1:11" ht="19.5" customHeight="1">
      <c r="A58" s="9">
        <v>50</v>
      </c>
      <c r="B58" s="9" t="s">
        <v>114</v>
      </c>
      <c r="C58" s="10" t="s">
        <v>115</v>
      </c>
      <c r="D58" s="11">
        <v>178</v>
      </c>
      <c r="E58" s="12"/>
      <c r="F58" s="13" t="str">
        <f t="shared" si="16"/>
        <v/>
      </c>
      <c r="G58" s="14" t="str">
        <f t="shared" si="17"/>
        <v/>
      </c>
      <c r="H58" s="15"/>
      <c r="I58" s="16" t="str">
        <f t="shared" si="18"/>
        <v/>
      </c>
      <c r="J58" s="17" t="str">
        <f t="shared" si="19"/>
        <v/>
      </c>
      <c r="K58" s="10"/>
    </row>
    <row r="59" spans="1:11" ht="19.5" customHeight="1">
      <c r="A59" s="9">
        <v>51</v>
      </c>
      <c r="B59" s="9" t="s">
        <v>116</v>
      </c>
      <c r="C59" s="10" t="s">
        <v>117</v>
      </c>
      <c r="D59" s="11">
        <v>177</v>
      </c>
      <c r="E59" s="12"/>
      <c r="F59" s="13" t="str">
        <f t="shared" si="16"/>
        <v/>
      </c>
      <c r="G59" s="14" t="str">
        <f t="shared" si="17"/>
        <v/>
      </c>
      <c r="H59" s="15"/>
      <c r="I59" s="16" t="str">
        <f t="shared" si="18"/>
        <v/>
      </c>
      <c r="J59" s="17" t="str">
        <f t="shared" si="19"/>
        <v/>
      </c>
      <c r="K59" s="10"/>
    </row>
    <row r="60" spans="1:11" ht="19.5" customHeight="1">
      <c r="A60" s="9">
        <v>52</v>
      </c>
      <c r="B60" s="9" t="s">
        <v>118</v>
      </c>
      <c r="C60" s="10" t="s">
        <v>119</v>
      </c>
      <c r="D60" s="11">
        <v>177</v>
      </c>
      <c r="E60" s="12"/>
      <c r="F60" s="13" t="str">
        <f t="shared" si="16"/>
        <v/>
      </c>
      <c r="G60" s="14" t="str">
        <f t="shared" si="17"/>
        <v/>
      </c>
      <c r="H60" s="15"/>
      <c r="I60" s="16" t="str">
        <f t="shared" si="18"/>
        <v/>
      </c>
      <c r="J60" s="17" t="str">
        <f t="shared" si="19"/>
        <v/>
      </c>
      <c r="K60" s="10"/>
    </row>
    <row r="61" spans="1:11" ht="19.5" customHeight="1">
      <c r="A61" s="2" t="s">
        <v>120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9.5" customHeight="1">
      <c r="A62" s="9">
        <v>53</v>
      </c>
      <c r="B62" s="9" t="s">
        <v>121</v>
      </c>
      <c r="C62" s="10" t="s">
        <v>122</v>
      </c>
      <c r="D62" s="11">
        <v>176</v>
      </c>
      <c r="E62" s="12"/>
      <c r="F62" s="13" t="str">
        <f t="shared" ref="F62:F72" si="20">IF(AND(ISNUMBER(D62), ISNUMBER(E62), D62&gt;0), E62/((D62/100)^2), "")</f>
        <v/>
      </c>
      <c r="G62" s="14" t="str">
        <f t="shared" ref="G62:G72" si="21">IF(F62="","",IF(F62&lt;18.5,"ผอมเกินไป",IF(F62&lt;23,"สมส่วน (ปกติ)",IF(F62&lt;25,"น้ำหนักเกิน (ท้วม)",IF(F62&lt;30,"อ้วนระดับ 1","อ้วนระดับ 2 (อ้วนมาก)")))))</f>
        <v/>
      </c>
      <c r="H62" s="15"/>
      <c r="I62" s="16" t="str">
        <f t="shared" ref="I62:I72" si="22">IF(AND(ISNUMBER(D62), ISNUMBER(H62), D62&gt;0), H62/((D62/100)^2), "")</f>
        <v/>
      </c>
      <c r="J62" s="17" t="str">
        <f t="shared" ref="J62:J72" si="23">IF(I62="","",IF(I62&lt;18.5,"ผอมเกินไป",IF(I62&lt;23,"สมส่วน (ปกติ)",IF(I62&lt;25,"น้ำหนักเกิน (ท้วม)",IF(I62&lt;30,"อ้วนระดับ 1","อ้วนระดับ 2 (อ้วนมาก)")))))</f>
        <v/>
      </c>
      <c r="K62" s="10"/>
    </row>
    <row r="63" spans="1:11" ht="19.5" customHeight="1">
      <c r="A63" s="9">
        <v>54</v>
      </c>
      <c r="B63" s="9" t="s">
        <v>123</v>
      </c>
      <c r="C63" s="10" t="s">
        <v>124</v>
      </c>
      <c r="D63" s="11">
        <v>176</v>
      </c>
      <c r="E63" s="12"/>
      <c r="F63" s="13" t="str">
        <f t="shared" si="20"/>
        <v/>
      </c>
      <c r="G63" s="14" t="str">
        <f t="shared" si="21"/>
        <v/>
      </c>
      <c r="H63" s="15"/>
      <c r="I63" s="16" t="str">
        <f t="shared" si="22"/>
        <v/>
      </c>
      <c r="J63" s="17" t="str">
        <f t="shared" si="23"/>
        <v/>
      </c>
      <c r="K63" s="10"/>
    </row>
    <row r="64" spans="1:11" ht="19.5" customHeight="1">
      <c r="A64" s="9">
        <v>55</v>
      </c>
      <c r="B64" s="9" t="s">
        <v>125</v>
      </c>
      <c r="C64" s="10" t="s">
        <v>126</v>
      </c>
      <c r="D64" s="11">
        <v>176</v>
      </c>
      <c r="E64" s="12"/>
      <c r="F64" s="13" t="str">
        <f t="shared" si="20"/>
        <v/>
      </c>
      <c r="G64" s="14" t="str">
        <f t="shared" si="21"/>
        <v/>
      </c>
      <c r="H64" s="15"/>
      <c r="I64" s="16" t="str">
        <f t="shared" si="22"/>
        <v/>
      </c>
      <c r="J64" s="17" t="str">
        <f t="shared" si="23"/>
        <v/>
      </c>
      <c r="K64" s="10"/>
    </row>
    <row r="65" spans="1:11" ht="19.5" customHeight="1">
      <c r="A65" s="9">
        <v>56</v>
      </c>
      <c r="B65" s="9" t="s">
        <v>127</v>
      </c>
      <c r="C65" s="10" t="s">
        <v>128</v>
      </c>
      <c r="D65" s="11">
        <v>176</v>
      </c>
      <c r="E65" s="12"/>
      <c r="F65" s="13" t="str">
        <f t="shared" si="20"/>
        <v/>
      </c>
      <c r="G65" s="14" t="str">
        <f t="shared" si="21"/>
        <v/>
      </c>
      <c r="H65" s="15"/>
      <c r="I65" s="16" t="str">
        <f t="shared" si="22"/>
        <v/>
      </c>
      <c r="J65" s="17" t="str">
        <f t="shared" si="23"/>
        <v/>
      </c>
      <c r="K65" s="10"/>
    </row>
    <row r="66" spans="1:11" ht="19.5" customHeight="1">
      <c r="A66" s="9">
        <v>57</v>
      </c>
      <c r="B66" s="9" t="s">
        <v>129</v>
      </c>
      <c r="C66" s="10" t="s">
        <v>130</v>
      </c>
      <c r="D66" s="11">
        <v>176</v>
      </c>
      <c r="E66" s="12"/>
      <c r="F66" s="13" t="str">
        <f t="shared" si="20"/>
        <v/>
      </c>
      <c r="G66" s="14" t="str">
        <f t="shared" si="21"/>
        <v/>
      </c>
      <c r="H66" s="15"/>
      <c r="I66" s="16" t="str">
        <f t="shared" si="22"/>
        <v/>
      </c>
      <c r="J66" s="17" t="str">
        <f t="shared" si="23"/>
        <v/>
      </c>
      <c r="K66" s="10"/>
    </row>
    <row r="67" spans="1:11" ht="19.5" customHeight="1">
      <c r="A67" s="9">
        <v>58</v>
      </c>
      <c r="B67" s="9" t="s">
        <v>131</v>
      </c>
      <c r="C67" s="10" t="s">
        <v>132</v>
      </c>
      <c r="D67" s="11">
        <v>175</v>
      </c>
      <c r="E67" s="12"/>
      <c r="F67" s="13" t="str">
        <f t="shared" si="20"/>
        <v/>
      </c>
      <c r="G67" s="14" t="str">
        <f t="shared" si="21"/>
        <v/>
      </c>
      <c r="H67" s="15"/>
      <c r="I67" s="16" t="str">
        <f t="shared" si="22"/>
        <v/>
      </c>
      <c r="J67" s="17" t="str">
        <f t="shared" si="23"/>
        <v/>
      </c>
      <c r="K67" s="10"/>
    </row>
    <row r="68" spans="1:11" ht="19.5" customHeight="1">
      <c r="A68" s="9">
        <v>59</v>
      </c>
      <c r="B68" s="9" t="s">
        <v>133</v>
      </c>
      <c r="C68" s="10" t="s">
        <v>134</v>
      </c>
      <c r="D68" s="11">
        <v>176</v>
      </c>
      <c r="E68" s="12"/>
      <c r="F68" s="13" t="str">
        <f t="shared" si="20"/>
        <v/>
      </c>
      <c r="G68" s="14" t="str">
        <f t="shared" si="21"/>
        <v/>
      </c>
      <c r="H68" s="15"/>
      <c r="I68" s="16" t="str">
        <f t="shared" si="22"/>
        <v/>
      </c>
      <c r="J68" s="17" t="str">
        <f t="shared" si="23"/>
        <v/>
      </c>
      <c r="K68" s="10"/>
    </row>
    <row r="69" spans="1:11" ht="19.5" customHeight="1">
      <c r="A69" s="9">
        <v>60</v>
      </c>
      <c r="B69" s="9" t="s">
        <v>135</v>
      </c>
      <c r="C69" s="10" t="s">
        <v>136</v>
      </c>
      <c r="D69" s="11">
        <v>176</v>
      </c>
      <c r="E69" s="12"/>
      <c r="F69" s="13" t="str">
        <f t="shared" si="20"/>
        <v/>
      </c>
      <c r="G69" s="14" t="str">
        <f t="shared" si="21"/>
        <v/>
      </c>
      <c r="H69" s="15"/>
      <c r="I69" s="16" t="str">
        <f t="shared" si="22"/>
        <v/>
      </c>
      <c r="J69" s="17" t="str">
        <f t="shared" si="23"/>
        <v/>
      </c>
      <c r="K69" s="10"/>
    </row>
    <row r="70" spans="1:11" ht="19.5" customHeight="1">
      <c r="A70" s="9">
        <v>61</v>
      </c>
      <c r="B70" s="9" t="s">
        <v>137</v>
      </c>
      <c r="C70" s="10" t="s">
        <v>138</v>
      </c>
      <c r="D70" s="11">
        <v>175</v>
      </c>
      <c r="E70" s="12"/>
      <c r="F70" s="13" t="str">
        <f t="shared" si="20"/>
        <v/>
      </c>
      <c r="G70" s="14" t="str">
        <f t="shared" si="21"/>
        <v/>
      </c>
      <c r="H70" s="15"/>
      <c r="I70" s="16" t="str">
        <f t="shared" si="22"/>
        <v/>
      </c>
      <c r="J70" s="17" t="str">
        <f t="shared" si="23"/>
        <v/>
      </c>
      <c r="K70" s="10"/>
    </row>
    <row r="71" spans="1:11" ht="19.5" customHeight="1">
      <c r="A71" s="9">
        <v>62</v>
      </c>
      <c r="B71" s="9" t="s">
        <v>139</v>
      </c>
      <c r="C71" s="10" t="s">
        <v>140</v>
      </c>
      <c r="D71" s="11">
        <v>174</v>
      </c>
      <c r="E71" s="12"/>
      <c r="F71" s="13" t="str">
        <f t="shared" si="20"/>
        <v/>
      </c>
      <c r="G71" s="14" t="str">
        <f t="shared" si="21"/>
        <v/>
      </c>
      <c r="H71" s="15"/>
      <c r="I71" s="16" t="str">
        <f t="shared" si="22"/>
        <v/>
      </c>
      <c r="J71" s="17" t="str">
        <f t="shared" si="23"/>
        <v/>
      </c>
      <c r="K71" s="10"/>
    </row>
    <row r="72" spans="1:11" ht="19.5" customHeight="1">
      <c r="A72" s="9">
        <v>63</v>
      </c>
      <c r="B72" s="9" t="s">
        <v>141</v>
      </c>
      <c r="C72" s="10" t="s">
        <v>142</v>
      </c>
      <c r="D72" s="11">
        <v>174</v>
      </c>
      <c r="E72" s="12"/>
      <c r="F72" s="13" t="str">
        <f t="shared" si="20"/>
        <v/>
      </c>
      <c r="G72" s="14" t="str">
        <f t="shared" si="21"/>
        <v/>
      </c>
      <c r="H72" s="15"/>
      <c r="I72" s="16" t="str">
        <f t="shared" si="22"/>
        <v/>
      </c>
      <c r="J72" s="17" t="str">
        <f t="shared" si="23"/>
        <v/>
      </c>
      <c r="K72" s="10"/>
    </row>
    <row r="73" spans="1:11" ht="19.5" customHeight="1">
      <c r="A73" s="2" t="s">
        <v>143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9.5" customHeight="1">
      <c r="A74" s="9">
        <v>64</v>
      </c>
      <c r="B74" s="9" t="s">
        <v>144</v>
      </c>
      <c r="C74" s="10" t="s">
        <v>145</v>
      </c>
      <c r="D74" s="11">
        <v>176</v>
      </c>
      <c r="E74" s="12"/>
      <c r="F74" s="13" t="str">
        <f t="shared" ref="F74:F83" si="24">IF(AND(ISNUMBER(D74), ISNUMBER(E74), D74&gt;0), E74/((D74/100)^2), "")</f>
        <v/>
      </c>
      <c r="G74" s="14" t="str">
        <f t="shared" ref="G74:G83" si="25">IF(F74="","",IF(F74&lt;18.5,"ผอมเกินไป",IF(F74&lt;23,"สมส่วน (ปกติ)",IF(F74&lt;25,"น้ำหนักเกิน (ท้วม)",IF(F74&lt;30,"อ้วนระดับ 1","อ้วนระดับ 2 (อ้วนมาก)")))))</f>
        <v/>
      </c>
      <c r="H74" s="15"/>
      <c r="I74" s="16" t="str">
        <f t="shared" ref="I74:I83" si="26">IF(AND(ISNUMBER(D74), ISNUMBER(H74), D74&gt;0), H74/((D74/100)^2), "")</f>
        <v/>
      </c>
      <c r="J74" s="17" t="str">
        <f t="shared" ref="J74:J83" si="27">IF(I74="","",IF(I74&lt;18.5,"ผอมเกินไป",IF(I74&lt;23,"สมส่วน (ปกติ)",IF(I74&lt;25,"น้ำหนักเกิน (ท้วม)",IF(I74&lt;30,"อ้วนระดับ 1","อ้วนระดับ 2 (อ้วนมาก)")))))</f>
        <v/>
      </c>
      <c r="K74" s="10"/>
    </row>
    <row r="75" spans="1:11" ht="19.5" customHeight="1">
      <c r="A75" s="9">
        <v>65</v>
      </c>
      <c r="B75" s="9" t="s">
        <v>146</v>
      </c>
      <c r="C75" s="10" t="s">
        <v>147</v>
      </c>
      <c r="D75" s="11">
        <v>176</v>
      </c>
      <c r="E75" s="12"/>
      <c r="F75" s="13" t="str">
        <f t="shared" si="24"/>
        <v/>
      </c>
      <c r="G75" s="14" t="str">
        <f t="shared" si="25"/>
        <v/>
      </c>
      <c r="H75" s="15"/>
      <c r="I75" s="16" t="str">
        <f t="shared" si="26"/>
        <v/>
      </c>
      <c r="J75" s="17" t="str">
        <f t="shared" si="27"/>
        <v/>
      </c>
      <c r="K75" s="10"/>
    </row>
    <row r="76" spans="1:11" ht="19.5" customHeight="1">
      <c r="A76" s="9">
        <v>66</v>
      </c>
      <c r="B76" s="9" t="s">
        <v>148</v>
      </c>
      <c r="C76" s="10" t="s">
        <v>149</v>
      </c>
      <c r="D76" s="11">
        <v>176</v>
      </c>
      <c r="E76" s="12"/>
      <c r="F76" s="13" t="str">
        <f t="shared" si="24"/>
        <v/>
      </c>
      <c r="G76" s="14" t="str">
        <f t="shared" si="25"/>
        <v/>
      </c>
      <c r="H76" s="15"/>
      <c r="I76" s="16" t="str">
        <f t="shared" si="26"/>
        <v/>
      </c>
      <c r="J76" s="17" t="str">
        <f t="shared" si="27"/>
        <v/>
      </c>
      <c r="K76" s="10"/>
    </row>
    <row r="77" spans="1:11" ht="19.5" customHeight="1">
      <c r="A77" s="9">
        <v>67</v>
      </c>
      <c r="B77" s="9" t="s">
        <v>150</v>
      </c>
      <c r="C77" s="10" t="s">
        <v>151</v>
      </c>
      <c r="D77" s="11">
        <v>175</v>
      </c>
      <c r="E77" s="12"/>
      <c r="F77" s="13" t="str">
        <f t="shared" si="24"/>
        <v/>
      </c>
      <c r="G77" s="14" t="str">
        <f t="shared" si="25"/>
        <v/>
      </c>
      <c r="H77" s="15"/>
      <c r="I77" s="16" t="str">
        <f t="shared" si="26"/>
        <v/>
      </c>
      <c r="J77" s="17" t="str">
        <f t="shared" si="27"/>
        <v/>
      </c>
      <c r="K77" s="10"/>
    </row>
    <row r="78" spans="1:11" ht="19.5" customHeight="1">
      <c r="A78" s="9">
        <v>68</v>
      </c>
      <c r="B78" s="9" t="s">
        <v>152</v>
      </c>
      <c r="C78" s="10" t="s">
        <v>153</v>
      </c>
      <c r="D78" s="11">
        <v>174</v>
      </c>
      <c r="E78" s="12"/>
      <c r="F78" s="13" t="str">
        <f t="shared" si="24"/>
        <v/>
      </c>
      <c r="G78" s="14" t="str">
        <f t="shared" si="25"/>
        <v/>
      </c>
      <c r="H78" s="15"/>
      <c r="I78" s="16" t="str">
        <f t="shared" si="26"/>
        <v/>
      </c>
      <c r="J78" s="17" t="str">
        <f t="shared" si="27"/>
        <v/>
      </c>
      <c r="K78" s="10"/>
    </row>
    <row r="79" spans="1:11" ht="19.5" customHeight="1">
      <c r="A79" s="9">
        <v>69</v>
      </c>
      <c r="B79" s="9" t="s">
        <v>154</v>
      </c>
      <c r="C79" s="10" t="s">
        <v>155</v>
      </c>
      <c r="D79" s="11">
        <v>174</v>
      </c>
      <c r="E79" s="12"/>
      <c r="F79" s="13" t="str">
        <f t="shared" si="24"/>
        <v/>
      </c>
      <c r="G79" s="14" t="str">
        <f t="shared" si="25"/>
        <v/>
      </c>
      <c r="H79" s="15"/>
      <c r="I79" s="16" t="str">
        <f t="shared" si="26"/>
        <v/>
      </c>
      <c r="J79" s="17" t="str">
        <f t="shared" si="27"/>
        <v/>
      </c>
      <c r="K79" s="10"/>
    </row>
    <row r="80" spans="1:11" ht="19.5" customHeight="1">
      <c r="A80" s="9">
        <v>70</v>
      </c>
      <c r="B80" s="9" t="s">
        <v>156</v>
      </c>
      <c r="C80" s="10" t="s">
        <v>157</v>
      </c>
      <c r="D80" s="11">
        <v>175</v>
      </c>
      <c r="E80" s="12"/>
      <c r="F80" s="13" t="str">
        <f t="shared" si="24"/>
        <v/>
      </c>
      <c r="G80" s="14" t="str">
        <f t="shared" si="25"/>
        <v/>
      </c>
      <c r="H80" s="15"/>
      <c r="I80" s="16" t="str">
        <f t="shared" si="26"/>
        <v/>
      </c>
      <c r="J80" s="17" t="str">
        <f t="shared" si="27"/>
        <v/>
      </c>
      <c r="K80" s="10"/>
    </row>
    <row r="81" spans="1:11" ht="19.5" customHeight="1">
      <c r="A81" s="9">
        <v>71</v>
      </c>
      <c r="B81" s="9" t="s">
        <v>158</v>
      </c>
      <c r="C81" s="10" t="s">
        <v>159</v>
      </c>
      <c r="D81" s="11">
        <v>173</v>
      </c>
      <c r="E81" s="12"/>
      <c r="F81" s="13" t="str">
        <f t="shared" si="24"/>
        <v/>
      </c>
      <c r="G81" s="14" t="str">
        <f t="shared" si="25"/>
        <v/>
      </c>
      <c r="H81" s="15"/>
      <c r="I81" s="16" t="str">
        <f t="shared" si="26"/>
        <v/>
      </c>
      <c r="J81" s="17" t="str">
        <f t="shared" si="27"/>
        <v/>
      </c>
      <c r="K81" s="10"/>
    </row>
    <row r="82" spans="1:11" ht="19.5" customHeight="1">
      <c r="A82" s="9">
        <v>72</v>
      </c>
      <c r="B82" s="9" t="s">
        <v>160</v>
      </c>
      <c r="C82" s="10" t="s">
        <v>161</v>
      </c>
      <c r="D82" s="11">
        <v>173</v>
      </c>
      <c r="E82" s="12"/>
      <c r="F82" s="13" t="str">
        <f t="shared" si="24"/>
        <v/>
      </c>
      <c r="G82" s="14" t="str">
        <f t="shared" si="25"/>
        <v/>
      </c>
      <c r="H82" s="15"/>
      <c r="I82" s="16" t="str">
        <f t="shared" si="26"/>
        <v/>
      </c>
      <c r="J82" s="17" t="str">
        <f t="shared" si="27"/>
        <v/>
      </c>
      <c r="K82" s="10"/>
    </row>
    <row r="83" spans="1:11" ht="19.5" customHeight="1">
      <c r="A83" s="9">
        <v>73</v>
      </c>
      <c r="B83" s="9" t="s">
        <v>162</v>
      </c>
      <c r="C83" s="10" t="s">
        <v>163</v>
      </c>
      <c r="D83" s="11">
        <v>173</v>
      </c>
      <c r="E83" s="12"/>
      <c r="F83" s="13" t="str">
        <f t="shared" si="24"/>
        <v/>
      </c>
      <c r="G83" s="14" t="str">
        <f t="shared" si="25"/>
        <v/>
      </c>
      <c r="H83" s="15"/>
      <c r="I83" s="16" t="str">
        <f t="shared" si="26"/>
        <v/>
      </c>
      <c r="J83" s="17" t="str">
        <f t="shared" si="27"/>
        <v/>
      </c>
      <c r="K83" s="10"/>
    </row>
    <row r="84" spans="1:11" ht="19.5" customHeight="1">
      <c r="A84" s="2" t="s">
        <v>164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9.5" customHeight="1">
      <c r="A85" s="9">
        <v>74</v>
      </c>
      <c r="B85" s="9" t="s">
        <v>165</v>
      </c>
      <c r="C85" s="10" t="s">
        <v>166</v>
      </c>
      <c r="D85" s="11">
        <v>176</v>
      </c>
      <c r="E85" s="12"/>
      <c r="F85" s="13" t="str">
        <f t="shared" ref="F85:F93" si="28">IF(AND(ISNUMBER(D85), ISNUMBER(E85), D85&gt;0), E85/((D85/100)^2), "")</f>
        <v/>
      </c>
      <c r="G85" s="14" t="str">
        <f t="shared" ref="G85:G93" si="29">IF(F85="","",IF(F85&lt;18.5,"ผอมเกินไป",IF(F85&lt;23,"สมส่วน (ปกติ)",IF(F85&lt;25,"น้ำหนักเกิน (ท้วม)",IF(F85&lt;30,"อ้วนระดับ 1","อ้วนระดับ 2 (อ้วนมาก)")))))</f>
        <v/>
      </c>
      <c r="H85" s="15"/>
      <c r="I85" s="16" t="str">
        <f t="shared" ref="I85:I93" si="30">IF(AND(ISNUMBER(D85), ISNUMBER(H85), D85&gt;0), H85/((D85/100)^2), "")</f>
        <v/>
      </c>
      <c r="J85" s="17" t="str">
        <f t="shared" ref="J85:J93" si="31">IF(I85="","",IF(I85&lt;18.5,"ผอมเกินไป",IF(I85&lt;23,"สมส่วน (ปกติ)",IF(I85&lt;25,"น้ำหนักเกิน (ท้วม)",IF(I85&lt;30,"อ้วนระดับ 1","อ้วนระดับ 2 (อ้วนมาก)")))))</f>
        <v/>
      </c>
      <c r="K85" s="10"/>
    </row>
    <row r="86" spans="1:11" ht="19.5" customHeight="1">
      <c r="A86" s="9">
        <v>75</v>
      </c>
      <c r="B86" s="9" t="s">
        <v>167</v>
      </c>
      <c r="C86" s="10" t="s">
        <v>168</v>
      </c>
      <c r="D86" s="11">
        <v>176</v>
      </c>
      <c r="E86" s="12"/>
      <c r="F86" s="13" t="str">
        <f t="shared" si="28"/>
        <v/>
      </c>
      <c r="G86" s="14" t="str">
        <f t="shared" si="29"/>
        <v/>
      </c>
      <c r="H86" s="15"/>
      <c r="I86" s="16" t="str">
        <f t="shared" si="30"/>
        <v/>
      </c>
      <c r="J86" s="17" t="str">
        <f t="shared" si="31"/>
        <v/>
      </c>
      <c r="K86" s="10"/>
    </row>
    <row r="87" spans="1:11" ht="19.5" customHeight="1">
      <c r="A87" s="9">
        <v>76</v>
      </c>
      <c r="B87" s="9" t="s">
        <v>169</v>
      </c>
      <c r="C87" s="10" t="s">
        <v>170</v>
      </c>
      <c r="D87" s="11">
        <v>176</v>
      </c>
      <c r="E87" s="12"/>
      <c r="F87" s="13" t="str">
        <f t="shared" si="28"/>
        <v/>
      </c>
      <c r="G87" s="14" t="str">
        <f t="shared" si="29"/>
        <v/>
      </c>
      <c r="H87" s="15"/>
      <c r="I87" s="16" t="str">
        <f t="shared" si="30"/>
        <v/>
      </c>
      <c r="J87" s="17" t="str">
        <f t="shared" si="31"/>
        <v/>
      </c>
      <c r="K87" s="10"/>
    </row>
    <row r="88" spans="1:11" ht="19.5" customHeight="1">
      <c r="A88" s="9">
        <v>77</v>
      </c>
      <c r="B88" s="9" t="s">
        <v>171</v>
      </c>
      <c r="C88" s="10" t="s">
        <v>172</v>
      </c>
      <c r="D88" s="11">
        <v>176</v>
      </c>
      <c r="E88" s="12"/>
      <c r="F88" s="13" t="str">
        <f t="shared" si="28"/>
        <v/>
      </c>
      <c r="G88" s="14" t="str">
        <f t="shared" si="29"/>
        <v/>
      </c>
      <c r="H88" s="15"/>
      <c r="I88" s="16" t="str">
        <f t="shared" si="30"/>
        <v/>
      </c>
      <c r="J88" s="17" t="str">
        <f t="shared" si="31"/>
        <v/>
      </c>
      <c r="K88" s="10"/>
    </row>
    <row r="89" spans="1:11" ht="19.5" customHeight="1">
      <c r="A89" s="9">
        <v>78</v>
      </c>
      <c r="B89" s="9" t="s">
        <v>173</v>
      </c>
      <c r="C89" s="10" t="s">
        <v>174</v>
      </c>
      <c r="D89" s="11">
        <v>176</v>
      </c>
      <c r="E89" s="12"/>
      <c r="F89" s="13" t="str">
        <f t="shared" si="28"/>
        <v/>
      </c>
      <c r="G89" s="14" t="str">
        <f t="shared" si="29"/>
        <v/>
      </c>
      <c r="H89" s="15"/>
      <c r="I89" s="16" t="str">
        <f t="shared" si="30"/>
        <v/>
      </c>
      <c r="J89" s="17" t="str">
        <f t="shared" si="31"/>
        <v/>
      </c>
      <c r="K89" s="10"/>
    </row>
    <row r="90" spans="1:11" ht="19.5" customHeight="1">
      <c r="A90" s="9">
        <v>79</v>
      </c>
      <c r="B90" s="9" t="s">
        <v>175</v>
      </c>
      <c r="C90" s="10" t="s">
        <v>176</v>
      </c>
      <c r="D90" s="11">
        <v>175</v>
      </c>
      <c r="E90" s="12"/>
      <c r="F90" s="13" t="str">
        <f t="shared" si="28"/>
        <v/>
      </c>
      <c r="G90" s="14" t="str">
        <f t="shared" si="29"/>
        <v/>
      </c>
      <c r="H90" s="15"/>
      <c r="I90" s="16" t="str">
        <f t="shared" si="30"/>
        <v/>
      </c>
      <c r="J90" s="17" t="str">
        <f t="shared" si="31"/>
        <v/>
      </c>
      <c r="K90" s="10"/>
    </row>
    <row r="91" spans="1:11" ht="19.5" customHeight="1">
      <c r="A91" s="9">
        <v>80</v>
      </c>
      <c r="B91" s="9" t="s">
        <v>177</v>
      </c>
      <c r="C91" s="10" t="s">
        <v>178</v>
      </c>
      <c r="D91" s="11">
        <v>175</v>
      </c>
      <c r="E91" s="12"/>
      <c r="F91" s="13" t="str">
        <f t="shared" si="28"/>
        <v/>
      </c>
      <c r="G91" s="14" t="str">
        <f t="shared" si="29"/>
        <v/>
      </c>
      <c r="H91" s="15"/>
      <c r="I91" s="16" t="str">
        <f t="shared" si="30"/>
        <v/>
      </c>
      <c r="J91" s="17" t="str">
        <f t="shared" si="31"/>
        <v/>
      </c>
      <c r="K91" s="10"/>
    </row>
    <row r="92" spans="1:11" ht="19.5" customHeight="1">
      <c r="A92" s="9">
        <v>81</v>
      </c>
      <c r="B92" s="9" t="s">
        <v>179</v>
      </c>
      <c r="C92" s="10" t="s">
        <v>180</v>
      </c>
      <c r="D92" s="11">
        <v>175</v>
      </c>
      <c r="E92" s="12"/>
      <c r="F92" s="13" t="str">
        <f t="shared" si="28"/>
        <v/>
      </c>
      <c r="G92" s="14" t="str">
        <f t="shared" si="29"/>
        <v/>
      </c>
      <c r="H92" s="15"/>
      <c r="I92" s="16" t="str">
        <f t="shared" si="30"/>
        <v/>
      </c>
      <c r="J92" s="17" t="str">
        <f t="shared" si="31"/>
        <v/>
      </c>
      <c r="K92" s="10"/>
    </row>
    <row r="93" spans="1:11" ht="19.5" customHeight="1">
      <c r="A93" s="9">
        <v>82</v>
      </c>
      <c r="B93" s="9" t="s">
        <v>181</v>
      </c>
      <c r="C93" s="10" t="s">
        <v>182</v>
      </c>
      <c r="D93" s="11">
        <v>174</v>
      </c>
      <c r="E93" s="12"/>
      <c r="F93" s="13" t="str">
        <f t="shared" si="28"/>
        <v/>
      </c>
      <c r="G93" s="14" t="str">
        <f t="shared" si="29"/>
        <v/>
      </c>
      <c r="H93" s="15"/>
      <c r="I93" s="16" t="str">
        <f t="shared" si="30"/>
        <v/>
      </c>
      <c r="J93" s="17" t="str">
        <f t="shared" si="31"/>
        <v/>
      </c>
      <c r="K93" s="10"/>
    </row>
    <row r="94" spans="1:11" ht="19.5" customHeight="1">
      <c r="A94" s="18">
        <v>83</v>
      </c>
      <c r="B94" s="18" t="s">
        <v>183</v>
      </c>
      <c r="C94" s="19" t="s">
        <v>184</v>
      </c>
      <c r="D94" s="1" t="s">
        <v>185</v>
      </c>
      <c r="E94" s="1"/>
      <c r="F94" s="1"/>
      <c r="G94" s="1"/>
      <c r="H94" s="1"/>
      <c r="I94" s="1"/>
      <c r="J94" s="1"/>
      <c r="K94" s="1"/>
    </row>
    <row r="95" spans="1:11" ht="19.5" customHeight="1">
      <c r="A95" s="2" t="s">
        <v>186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9.5" customHeight="1">
      <c r="A96" s="9">
        <v>84</v>
      </c>
      <c r="B96" s="9" t="s">
        <v>187</v>
      </c>
      <c r="C96" s="10" t="s">
        <v>188</v>
      </c>
      <c r="D96" s="11">
        <v>174</v>
      </c>
      <c r="E96" s="12"/>
      <c r="F96" s="13" t="str">
        <f t="shared" ref="F96:F105" si="32">IF(AND(ISNUMBER(D96), ISNUMBER(E96), D96&gt;0), E96/((D96/100)^2), "")</f>
        <v/>
      </c>
      <c r="G96" s="14" t="str">
        <f t="shared" ref="G96:G105" si="33">IF(F96="","",IF(F96&lt;18.5,"ผอมเกินไป",IF(F96&lt;23,"สมส่วน (ปกติ)",IF(F96&lt;25,"น้ำหนักเกิน (ท้วม)",IF(F96&lt;30,"อ้วนระดับ 1","อ้วนระดับ 2 (อ้วนมาก)")))))</f>
        <v/>
      </c>
      <c r="H96" s="15"/>
      <c r="I96" s="16" t="str">
        <f t="shared" ref="I96:I105" si="34">IF(AND(ISNUMBER(D96), ISNUMBER(H96), D96&gt;0), H96/((D96/100)^2), "")</f>
        <v/>
      </c>
      <c r="J96" s="17" t="str">
        <f t="shared" ref="J96:J105" si="35">IF(I96="","",IF(I96&lt;18.5,"ผอมเกินไป",IF(I96&lt;23,"สมส่วน (ปกติ)",IF(I96&lt;25,"น้ำหนักเกิน (ท้วม)",IF(I96&lt;30,"อ้วนระดับ 1","อ้วนระดับ 2 (อ้วนมาก)")))))</f>
        <v/>
      </c>
      <c r="K96" s="10"/>
    </row>
    <row r="97" spans="1:11" ht="19.5" customHeight="1">
      <c r="A97" s="9">
        <v>85</v>
      </c>
      <c r="B97" s="9" t="s">
        <v>189</v>
      </c>
      <c r="C97" s="10" t="s">
        <v>190</v>
      </c>
      <c r="D97" s="11">
        <v>176</v>
      </c>
      <c r="E97" s="12"/>
      <c r="F97" s="13" t="str">
        <f t="shared" si="32"/>
        <v/>
      </c>
      <c r="G97" s="14" t="str">
        <f t="shared" si="33"/>
        <v/>
      </c>
      <c r="H97" s="15"/>
      <c r="I97" s="16" t="str">
        <f t="shared" si="34"/>
        <v/>
      </c>
      <c r="J97" s="17" t="str">
        <f t="shared" si="35"/>
        <v/>
      </c>
      <c r="K97" s="10"/>
    </row>
    <row r="98" spans="1:11" ht="19.5" customHeight="1">
      <c r="A98" s="9">
        <v>86</v>
      </c>
      <c r="B98" s="9" t="s">
        <v>191</v>
      </c>
      <c r="C98" s="10" t="s">
        <v>192</v>
      </c>
      <c r="D98" s="11">
        <v>176</v>
      </c>
      <c r="E98" s="12"/>
      <c r="F98" s="13" t="str">
        <f t="shared" si="32"/>
        <v/>
      </c>
      <c r="G98" s="14" t="str">
        <f t="shared" si="33"/>
        <v/>
      </c>
      <c r="H98" s="15"/>
      <c r="I98" s="16" t="str">
        <f t="shared" si="34"/>
        <v/>
      </c>
      <c r="J98" s="17" t="str">
        <f t="shared" si="35"/>
        <v/>
      </c>
      <c r="K98" s="10"/>
    </row>
    <row r="99" spans="1:11" ht="19.5" customHeight="1">
      <c r="A99" s="9">
        <v>87</v>
      </c>
      <c r="B99" s="9" t="s">
        <v>193</v>
      </c>
      <c r="C99" s="10" t="s">
        <v>194</v>
      </c>
      <c r="D99" s="11">
        <v>175</v>
      </c>
      <c r="E99" s="12"/>
      <c r="F99" s="13" t="str">
        <f t="shared" si="32"/>
        <v/>
      </c>
      <c r="G99" s="14" t="str">
        <f t="shared" si="33"/>
        <v/>
      </c>
      <c r="H99" s="15"/>
      <c r="I99" s="16" t="str">
        <f t="shared" si="34"/>
        <v/>
      </c>
      <c r="J99" s="17" t="str">
        <f t="shared" si="35"/>
        <v/>
      </c>
      <c r="K99" s="10"/>
    </row>
    <row r="100" spans="1:11" ht="19.5" customHeight="1">
      <c r="A100" s="9">
        <v>88</v>
      </c>
      <c r="B100" s="9" t="s">
        <v>195</v>
      </c>
      <c r="C100" s="10" t="s">
        <v>196</v>
      </c>
      <c r="D100" s="11">
        <v>176</v>
      </c>
      <c r="E100" s="12"/>
      <c r="F100" s="13" t="str">
        <f t="shared" si="32"/>
        <v/>
      </c>
      <c r="G100" s="14" t="str">
        <f t="shared" si="33"/>
        <v/>
      </c>
      <c r="H100" s="15"/>
      <c r="I100" s="16" t="str">
        <f t="shared" si="34"/>
        <v/>
      </c>
      <c r="J100" s="17" t="str">
        <f t="shared" si="35"/>
        <v/>
      </c>
      <c r="K100" s="10"/>
    </row>
    <row r="101" spans="1:11" ht="19.5" customHeight="1">
      <c r="A101" s="9">
        <v>89</v>
      </c>
      <c r="B101" s="9" t="s">
        <v>197</v>
      </c>
      <c r="C101" s="10" t="s">
        <v>198</v>
      </c>
      <c r="D101" s="11">
        <v>175</v>
      </c>
      <c r="E101" s="12"/>
      <c r="F101" s="13" t="str">
        <f t="shared" si="32"/>
        <v/>
      </c>
      <c r="G101" s="14" t="str">
        <f t="shared" si="33"/>
        <v/>
      </c>
      <c r="H101" s="15"/>
      <c r="I101" s="16" t="str">
        <f t="shared" si="34"/>
        <v/>
      </c>
      <c r="J101" s="17" t="str">
        <f t="shared" si="35"/>
        <v/>
      </c>
      <c r="K101" s="10"/>
    </row>
    <row r="102" spans="1:11" ht="19.5" customHeight="1">
      <c r="A102" s="9">
        <v>90</v>
      </c>
      <c r="B102" s="9" t="s">
        <v>199</v>
      </c>
      <c r="C102" s="10" t="s">
        <v>200</v>
      </c>
      <c r="D102" s="11">
        <v>175</v>
      </c>
      <c r="E102" s="12"/>
      <c r="F102" s="13" t="str">
        <f t="shared" si="32"/>
        <v/>
      </c>
      <c r="G102" s="14" t="str">
        <f t="shared" si="33"/>
        <v/>
      </c>
      <c r="H102" s="15"/>
      <c r="I102" s="16" t="str">
        <f t="shared" si="34"/>
        <v/>
      </c>
      <c r="J102" s="17" t="str">
        <f t="shared" si="35"/>
        <v/>
      </c>
      <c r="K102" s="10"/>
    </row>
    <row r="103" spans="1:11" ht="19.5" customHeight="1">
      <c r="A103" s="9">
        <v>91</v>
      </c>
      <c r="B103" s="9" t="s">
        <v>201</v>
      </c>
      <c r="C103" s="10" t="s">
        <v>202</v>
      </c>
      <c r="D103" s="11">
        <v>174</v>
      </c>
      <c r="E103" s="12"/>
      <c r="F103" s="13" t="str">
        <f t="shared" si="32"/>
        <v/>
      </c>
      <c r="G103" s="14" t="str">
        <f t="shared" si="33"/>
        <v/>
      </c>
      <c r="H103" s="15"/>
      <c r="I103" s="16" t="str">
        <f t="shared" si="34"/>
        <v/>
      </c>
      <c r="J103" s="17" t="str">
        <f t="shared" si="35"/>
        <v/>
      </c>
      <c r="K103" s="10"/>
    </row>
    <row r="104" spans="1:11" ht="19.5" customHeight="1">
      <c r="A104" s="9">
        <v>92</v>
      </c>
      <c r="B104" s="9" t="s">
        <v>203</v>
      </c>
      <c r="C104" s="10" t="s">
        <v>204</v>
      </c>
      <c r="D104" s="11">
        <v>174</v>
      </c>
      <c r="E104" s="12"/>
      <c r="F104" s="13" t="str">
        <f t="shared" si="32"/>
        <v/>
      </c>
      <c r="G104" s="14" t="str">
        <f t="shared" si="33"/>
        <v/>
      </c>
      <c r="H104" s="15"/>
      <c r="I104" s="16" t="str">
        <f t="shared" si="34"/>
        <v/>
      </c>
      <c r="J104" s="17" t="str">
        <f t="shared" si="35"/>
        <v/>
      </c>
      <c r="K104" s="10"/>
    </row>
    <row r="105" spans="1:11" ht="19.5" customHeight="1">
      <c r="A105" s="9">
        <v>93</v>
      </c>
      <c r="B105" s="9" t="s">
        <v>205</v>
      </c>
      <c r="C105" s="10" t="s">
        <v>206</v>
      </c>
      <c r="D105" s="11">
        <v>174</v>
      </c>
      <c r="E105" s="12"/>
      <c r="F105" s="13" t="str">
        <f t="shared" si="32"/>
        <v/>
      </c>
      <c r="G105" s="14" t="str">
        <f t="shared" si="33"/>
        <v/>
      </c>
      <c r="H105" s="15"/>
      <c r="I105" s="16" t="str">
        <f t="shared" si="34"/>
        <v/>
      </c>
      <c r="J105" s="17" t="str">
        <f t="shared" si="35"/>
        <v/>
      </c>
      <c r="K105" s="10"/>
    </row>
    <row r="106" spans="1:11" ht="19.5" customHeight="1">
      <c r="A106" s="2" t="s">
        <v>207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9.5" customHeight="1">
      <c r="A107" s="9">
        <v>94</v>
      </c>
      <c r="B107" s="9" t="s">
        <v>208</v>
      </c>
      <c r="C107" s="10" t="s">
        <v>209</v>
      </c>
      <c r="D107" s="11">
        <v>176</v>
      </c>
      <c r="E107" s="12"/>
      <c r="F107" s="13" t="str">
        <f t="shared" ref="F107:F117" si="36">IF(AND(ISNUMBER(D107), ISNUMBER(E107), D107&gt;0), E107/((D107/100)^2), "")</f>
        <v/>
      </c>
      <c r="G107" s="14" t="str">
        <f t="shared" ref="G107:G117" si="37">IF(F107="","",IF(F107&lt;18.5,"ผอมเกินไป",IF(F107&lt;23,"สมส่วน (ปกติ)",IF(F107&lt;25,"น้ำหนักเกิน (ท้วม)",IF(F107&lt;30,"อ้วนระดับ 1","อ้วนระดับ 2 (อ้วนมาก)")))))</f>
        <v/>
      </c>
      <c r="H107" s="15"/>
      <c r="I107" s="16" t="str">
        <f t="shared" ref="I107:I117" si="38">IF(AND(ISNUMBER(D107), ISNUMBER(H107), D107&gt;0), H107/((D107/100)^2), "")</f>
        <v/>
      </c>
      <c r="J107" s="17" t="str">
        <f t="shared" ref="J107:J117" si="39">IF(I107="","",IF(I107&lt;18.5,"ผอมเกินไป",IF(I107&lt;23,"สมส่วน (ปกติ)",IF(I107&lt;25,"น้ำหนักเกิน (ท้วม)",IF(I107&lt;30,"อ้วนระดับ 1","อ้วนระดับ 2 (อ้วนมาก)")))))</f>
        <v/>
      </c>
      <c r="K107" s="10"/>
    </row>
    <row r="108" spans="1:11" ht="19.5" customHeight="1">
      <c r="A108" s="9">
        <v>95</v>
      </c>
      <c r="B108" s="9" t="s">
        <v>210</v>
      </c>
      <c r="C108" s="10" t="s">
        <v>211</v>
      </c>
      <c r="D108" s="11">
        <v>176</v>
      </c>
      <c r="E108" s="12"/>
      <c r="F108" s="13" t="str">
        <f t="shared" si="36"/>
        <v/>
      </c>
      <c r="G108" s="14" t="str">
        <f t="shared" si="37"/>
        <v/>
      </c>
      <c r="H108" s="15"/>
      <c r="I108" s="16" t="str">
        <f t="shared" si="38"/>
        <v/>
      </c>
      <c r="J108" s="17" t="str">
        <f t="shared" si="39"/>
        <v/>
      </c>
      <c r="K108" s="10"/>
    </row>
    <row r="109" spans="1:11" ht="19.5" customHeight="1">
      <c r="A109" s="9">
        <v>96</v>
      </c>
      <c r="B109" s="9" t="s">
        <v>212</v>
      </c>
      <c r="C109" s="10" t="s">
        <v>213</v>
      </c>
      <c r="D109" s="11">
        <v>176</v>
      </c>
      <c r="E109" s="12"/>
      <c r="F109" s="13" t="str">
        <f t="shared" si="36"/>
        <v/>
      </c>
      <c r="G109" s="14" t="str">
        <f t="shared" si="37"/>
        <v/>
      </c>
      <c r="H109" s="15"/>
      <c r="I109" s="16" t="str">
        <f t="shared" si="38"/>
        <v/>
      </c>
      <c r="J109" s="17" t="str">
        <f t="shared" si="39"/>
        <v/>
      </c>
      <c r="K109" s="10"/>
    </row>
    <row r="110" spans="1:11" ht="19.5" customHeight="1">
      <c r="A110" s="9">
        <v>97</v>
      </c>
      <c r="B110" s="9" t="s">
        <v>214</v>
      </c>
      <c r="C110" s="10" t="s">
        <v>215</v>
      </c>
      <c r="D110" s="11">
        <v>175</v>
      </c>
      <c r="E110" s="12"/>
      <c r="F110" s="13" t="str">
        <f t="shared" si="36"/>
        <v/>
      </c>
      <c r="G110" s="14" t="str">
        <f t="shared" si="37"/>
        <v/>
      </c>
      <c r="H110" s="15"/>
      <c r="I110" s="16" t="str">
        <f t="shared" si="38"/>
        <v/>
      </c>
      <c r="J110" s="17" t="str">
        <f t="shared" si="39"/>
        <v/>
      </c>
      <c r="K110" s="10"/>
    </row>
    <row r="111" spans="1:11" ht="19.5" customHeight="1">
      <c r="A111" s="9">
        <v>98</v>
      </c>
      <c r="B111" s="9" t="s">
        <v>216</v>
      </c>
      <c r="C111" s="10" t="s">
        <v>217</v>
      </c>
      <c r="D111" s="11">
        <v>175</v>
      </c>
      <c r="E111" s="12"/>
      <c r="F111" s="13" t="str">
        <f t="shared" si="36"/>
        <v/>
      </c>
      <c r="G111" s="14" t="str">
        <f t="shared" si="37"/>
        <v/>
      </c>
      <c r="H111" s="15"/>
      <c r="I111" s="16" t="str">
        <f t="shared" si="38"/>
        <v/>
      </c>
      <c r="J111" s="17" t="str">
        <f t="shared" si="39"/>
        <v/>
      </c>
      <c r="K111" s="10"/>
    </row>
    <row r="112" spans="1:11" ht="19.5" customHeight="1">
      <c r="A112" s="9">
        <v>99</v>
      </c>
      <c r="B112" s="9" t="s">
        <v>218</v>
      </c>
      <c r="C112" s="10" t="s">
        <v>219</v>
      </c>
      <c r="D112" s="11">
        <v>175</v>
      </c>
      <c r="E112" s="12"/>
      <c r="F112" s="13" t="str">
        <f t="shared" si="36"/>
        <v/>
      </c>
      <c r="G112" s="14" t="str">
        <f t="shared" si="37"/>
        <v/>
      </c>
      <c r="H112" s="15"/>
      <c r="I112" s="16" t="str">
        <f t="shared" si="38"/>
        <v/>
      </c>
      <c r="J112" s="17" t="str">
        <f t="shared" si="39"/>
        <v/>
      </c>
      <c r="K112" s="10"/>
    </row>
    <row r="113" spans="1:11" ht="19.5" customHeight="1">
      <c r="A113" s="9">
        <v>100</v>
      </c>
      <c r="B113" s="9" t="s">
        <v>220</v>
      </c>
      <c r="C113" s="10" t="s">
        <v>221</v>
      </c>
      <c r="D113" s="11">
        <v>173</v>
      </c>
      <c r="E113" s="12"/>
      <c r="F113" s="13" t="str">
        <f t="shared" si="36"/>
        <v/>
      </c>
      <c r="G113" s="14" t="str">
        <f t="shared" si="37"/>
        <v/>
      </c>
      <c r="H113" s="15"/>
      <c r="I113" s="16" t="str">
        <f t="shared" si="38"/>
        <v/>
      </c>
      <c r="J113" s="17" t="str">
        <f t="shared" si="39"/>
        <v/>
      </c>
      <c r="K113" s="10"/>
    </row>
    <row r="114" spans="1:11" ht="19.5" customHeight="1">
      <c r="A114" s="9">
        <v>101</v>
      </c>
      <c r="B114" s="9" t="s">
        <v>222</v>
      </c>
      <c r="C114" s="10" t="s">
        <v>223</v>
      </c>
      <c r="D114" s="11">
        <v>174</v>
      </c>
      <c r="E114" s="12"/>
      <c r="F114" s="13" t="str">
        <f t="shared" si="36"/>
        <v/>
      </c>
      <c r="G114" s="14" t="str">
        <f t="shared" si="37"/>
        <v/>
      </c>
      <c r="H114" s="15"/>
      <c r="I114" s="16" t="str">
        <f t="shared" si="38"/>
        <v/>
      </c>
      <c r="J114" s="17" t="str">
        <f t="shared" si="39"/>
        <v/>
      </c>
      <c r="K114" s="10"/>
    </row>
    <row r="115" spans="1:11" ht="19.5" customHeight="1">
      <c r="A115" s="9">
        <v>102</v>
      </c>
      <c r="B115" s="9" t="s">
        <v>224</v>
      </c>
      <c r="C115" s="10" t="s">
        <v>225</v>
      </c>
      <c r="D115" s="11">
        <v>173</v>
      </c>
      <c r="E115" s="12"/>
      <c r="F115" s="13" t="str">
        <f t="shared" si="36"/>
        <v/>
      </c>
      <c r="G115" s="14" t="str">
        <f t="shared" si="37"/>
        <v/>
      </c>
      <c r="H115" s="15"/>
      <c r="I115" s="16" t="str">
        <f t="shared" si="38"/>
        <v/>
      </c>
      <c r="J115" s="17" t="str">
        <f t="shared" si="39"/>
        <v/>
      </c>
      <c r="K115" s="10"/>
    </row>
    <row r="116" spans="1:11" ht="19.5" customHeight="1">
      <c r="A116" s="9">
        <v>103</v>
      </c>
      <c r="B116" s="9" t="s">
        <v>226</v>
      </c>
      <c r="C116" s="10" t="s">
        <v>227</v>
      </c>
      <c r="D116" s="11">
        <v>174</v>
      </c>
      <c r="E116" s="12"/>
      <c r="F116" s="13" t="str">
        <f t="shared" si="36"/>
        <v/>
      </c>
      <c r="G116" s="14" t="str">
        <f t="shared" si="37"/>
        <v/>
      </c>
      <c r="H116" s="15"/>
      <c r="I116" s="16" t="str">
        <f t="shared" si="38"/>
        <v/>
      </c>
      <c r="J116" s="17" t="str">
        <f t="shared" si="39"/>
        <v/>
      </c>
      <c r="K116" s="10"/>
    </row>
    <row r="117" spans="1:11" ht="19.5" customHeight="1">
      <c r="A117" s="9">
        <v>104</v>
      </c>
      <c r="B117" s="9" t="s">
        <v>228</v>
      </c>
      <c r="C117" s="10" t="s">
        <v>229</v>
      </c>
      <c r="D117" s="11">
        <v>173</v>
      </c>
      <c r="E117" s="12"/>
      <c r="F117" s="13" t="str">
        <f t="shared" si="36"/>
        <v/>
      </c>
      <c r="G117" s="14" t="str">
        <f t="shared" si="37"/>
        <v/>
      </c>
      <c r="H117" s="15"/>
      <c r="I117" s="16" t="str">
        <f t="shared" si="38"/>
        <v/>
      </c>
      <c r="J117" s="17" t="str">
        <f t="shared" si="39"/>
        <v/>
      </c>
      <c r="K117" s="10"/>
    </row>
    <row r="118" spans="1:11" ht="19.5" customHeight="1">
      <c r="A118" s="2" t="s">
        <v>230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9.5" customHeight="1">
      <c r="A119" s="9">
        <v>105</v>
      </c>
      <c r="B119" s="9" t="s">
        <v>231</v>
      </c>
      <c r="C119" s="10" t="s">
        <v>232</v>
      </c>
      <c r="D119" s="11">
        <v>173</v>
      </c>
      <c r="E119" s="12"/>
      <c r="F119" s="13" t="str">
        <f t="shared" ref="F119:F129" si="40">IF(AND(ISNUMBER(D119), ISNUMBER(E119), D119&gt;0), E119/((D119/100)^2), "")</f>
        <v/>
      </c>
      <c r="G119" s="14" t="str">
        <f t="shared" ref="G119:G129" si="41">IF(F119="","",IF(F119&lt;18.5,"ผอมเกินไป",IF(F119&lt;23,"สมส่วน (ปกติ)",IF(F119&lt;25,"น้ำหนักเกิน (ท้วม)",IF(F119&lt;30,"อ้วนระดับ 1","อ้วนระดับ 2 (อ้วนมาก)")))))</f>
        <v/>
      </c>
      <c r="H119" s="15"/>
      <c r="I119" s="16" t="str">
        <f t="shared" ref="I119:I129" si="42">IF(AND(ISNUMBER(D119), ISNUMBER(H119), D119&gt;0), H119/((D119/100)^2), "")</f>
        <v/>
      </c>
      <c r="J119" s="17" t="str">
        <f t="shared" ref="J119:J129" si="43">IF(I119="","",IF(I119&lt;18.5,"ผอมเกินไป",IF(I119&lt;23,"สมส่วน (ปกติ)",IF(I119&lt;25,"น้ำหนักเกิน (ท้วม)",IF(I119&lt;30,"อ้วนระดับ 1","อ้วนระดับ 2 (อ้วนมาก)")))))</f>
        <v/>
      </c>
      <c r="K119" s="10"/>
    </row>
    <row r="120" spans="1:11" ht="19.5" customHeight="1">
      <c r="A120" s="9">
        <v>106</v>
      </c>
      <c r="B120" s="9" t="s">
        <v>233</v>
      </c>
      <c r="C120" s="10" t="s">
        <v>234</v>
      </c>
      <c r="D120" s="11">
        <v>173</v>
      </c>
      <c r="E120" s="12"/>
      <c r="F120" s="13" t="str">
        <f t="shared" si="40"/>
        <v/>
      </c>
      <c r="G120" s="14" t="str">
        <f t="shared" si="41"/>
        <v/>
      </c>
      <c r="H120" s="15"/>
      <c r="I120" s="16" t="str">
        <f t="shared" si="42"/>
        <v/>
      </c>
      <c r="J120" s="17" t="str">
        <f t="shared" si="43"/>
        <v/>
      </c>
      <c r="K120" s="10"/>
    </row>
    <row r="121" spans="1:11" ht="19.5" customHeight="1">
      <c r="A121" s="9">
        <v>107</v>
      </c>
      <c r="B121" s="9" t="s">
        <v>235</v>
      </c>
      <c r="C121" s="10" t="s">
        <v>236</v>
      </c>
      <c r="D121" s="11">
        <v>173</v>
      </c>
      <c r="E121" s="12"/>
      <c r="F121" s="13" t="str">
        <f t="shared" si="40"/>
        <v/>
      </c>
      <c r="G121" s="14" t="str">
        <f t="shared" si="41"/>
        <v/>
      </c>
      <c r="H121" s="15"/>
      <c r="I121" s="16" t="str">
        <f t="shared" si="42"/>
        <v/>
      </c>
      <c r="J121" s="17" t="str">
        <f t="shared" si="43"/>
        <v/>
      </c>
      <c r="K121" s="10"/>
    </row>
    <row r="122" spans="1:11" ht="19.5" customHeight="1">
      <c r="A122" s="9">
        <v>108</v>
      </c>
      <c r="B122" s="9" t="s">
        <v>237</v>
      </c>
      <c r="C122" s="10" t="s">
        <v>238</v>
      </c>
      <c r="D122" s="11">
        <v>173</v>
      </c>
      <c r="E122" s="12"/>
      <c r="F122" s="13" t="str">
        <f t="shared" si="40"/>
        <v/>
      </c>
      <c r="G122" s="14" t="str">
        <f t="shared" si="41"/>
        <v/>
      </c>
      <c r="H122" s="15"/>
      <c r="I122" s="16" t="str">
        <f t="shared" si="42"/>
        <v/>
      </c>
      <c r="J122" s="17" t="str">
        <f t="shared" si="43"/>
        <v/>
      </c>
      <c r="K122" s="10"/>
    </row>
    <row r="123" spans="1:11" ht="19.5" customHeight="1">
      <c r="A123" s="9">
        <v>109</v>
      </c>
      <c r="B123" s="9" t="s">
        <v>239</v>
      </c>
      <c r="C123" s="10" t="s">
        <v>240</v>
      </c>
      <c r="D123" s="11">
        <v>173</v>
      </c>
      <c r="E123" s="12"/>
      <c r="F123" s="13" t="str">
        <f t="shared" si="40"/>
        <v/>
      </c>
      <c r="G123" s="14" t="str">
        <f t="shared" si="41"/>
        <v/>
      </c>
      <c r="H123" s="15"/>
      <c r="I123" s="16" t="str">
        <f t="shared" si="42"/>
        <v/>
      </c>
      <c r="J123" s="17" t="str">
        <f t="shared" si="43"/>
        <v/>
      </c>
      <c r="K123" s="10"/>
    </row>
    <row r="124" spans="1:11" ht="19.5" customHeight="1">
      <c r="A124" s="9">
        <v>110</v>
      </c>
      <c r="B124" s="9" t="s">
        <v>241</v>
      </c>
      <c r="C124" s="10" t="s">
        <v>242</v>
      </c>
      <c r="D124" s="11">
        <v>173</v>
      </c>
      <c r="E124" s="12"/>
      <c r="F124" s="13" t="str">
        <f t="shared" si="40"/>
        <v/>
      </c>
      <c r="G124" s="14" t="str">
        <f t="shared" si="41"/>
        <v/>
      </c>
      <c r="H124" s="15"/>
      <c r="I124" s="16" t="str">
        <f t="shared" si="42"/>
        <v/>
      </c>
      <c r="J124" s="17" t="str">
        <f t="shared" si="43"/>
        <v/>
      </c>
      <c r="K124" s="10"/>
    </row>
    <row r="125" spans="1:11" ht="19.5" customHeight="1">
      <c r="A125" s="9">
        <v>111</v>
      </c>
      <c r="B125" s="9" t="s">
        <v>243</v>
      </c>
      <c r="C125" s="10" t="s">
        <v>244</v>
      </c>
      <c r="D125" s="11">
        <v>173</v>
      </c>
      <c r="E125" s="12"/>
      <c r="F125" s="13" t="str">
        <f t="shared" si="40"/>
        <v/>
      </c>
      <c r="G125" s="14" t="str">
        <f t="shared" si="41"/>
        <v/>
      </c>
      <c r="H125" s="15"/>
      <c r="I125" s="16" t="str">
        <f t="shared" si="42"/>
        <v/>
      </c>
      <c r="J125" s="17" t="str">
        <f t="shared" si="43"/>
        <v/>
      </c>
      <c r="K125" s="10"/>
    </row>
    <row r="126" spans="1:11" ht="19.5" customHeight="1">
      <c r="A126" s="9">
        <v>112</v>
      </c>
      <c r="B126" s="9" t="s">
        <v>245</v>
      </c>
      <c r="C126" s="10" t="s">
        <v>246</v>
      </c>
      <c r="D126" s="11">
        <v>172</v>
      </c>
      <c r="E126" s="12"/>
      <c r="F126" s="13" t="str">
        <f t="shared" si="40"/>
        <v/>
      </c>
      <c r="G126" s="14" t="str">
        <f t="shared" si="41"/>
        <v/>
      </c>
      <c r="H126" s="15"/>
      <c r="I126" s="16" t="str">
        <f t="shared" si="42"/>
        <v/>
      </c>
      <c r="J126" s="17" t="str">
        <f t="shared" si="43"/>
        <v/>
      </c>
      <c r="K126" s="10"/>
    </row>
    <row r="127" spans="1:11" ht="19.5" customHeight="1">
      <c r="A127" s="9">
        <v>113</v>
      </c>
      <c r="B127" s="9" t="s">
        <v>247</v>
      </c>
      <c r="C127" s="10" t="s">
        <v>248</v>
      </c>
      <c r="D127" s="11">
        <v>172</v>
      </c>
      <c r="E127" s="12"/>
      <c r="F127" s="13" t="str">
        <f t="shared" si="40"/>
        <v/>
      </c>
      <c r="G127" s="14" t="str">
        <f t="shared" si="41"/>
        <v/>
      </c>
      <c r="H127" s="15"/>
      <c r="I127" s="16" t="str">
        <f t="shared" si="42"/>
        <v/>
      </c>
      <c r="J127" s="17" t="str">
        <f t="shared" si="43"/>
        <v/>
      </c>
      <c r="K127" s="10"/>
    </row>
    <row r="128" spans="1:11" ht="19.5" customHeight="1">
      <c r="A128" s="9">
        <v>114</v>
      </c>
      <c r="B128" s="9" t="s">
        <v>249</v>
      </c>
      <c r="C128" s="10" t="s">
        <v>250</v>
      </c>
      <c r="D128" s="11">
        <v>173</v>
      </c>
      <c r="E128" s="12"/>
      <c r="F128" s="13" t="str">
        <f t="shared" si="40"/>
        <v/>
      </c>
      <c r="G128" s="14" t="str">
        <f t="shared" si="41"/>
        <v/>
      </c>
      <c r="H128" s="15"/>
      <c r="I128" s="16" t="str">
        <f t="shared" si="42"/>
        <v/>
      </c>
      <c r="J128" s="17" t="str">
        <f t="shared" si="43"/>
        <v/>
      </c>
      <c r="K128" s="10"/>
    </row>
    <row r="129" spans="1:11" ht="19.5" customHeight="1">
      <c r="A129" s="9">
        <v>115</v>
      </c>
      <c r="B129" s="9" t="s">
        <v>251</v>
      </c>
      <c r="C129" s="10" t="s">
        <v>252</v>
      </c>
      <c r="D129" s="11">
        <v>172</v>
      </c>
      <c r="E129" s="12"/>
      <c r="F129" s="13" t="str">
        <f t="shared" si="40"/>
        <v/>
      </c>
      <c r="G129" s="14" t="str">
        <f t="shared" si="41"/>
        <v/>
      </c>
      <c r="H129" s="15"/>
      <c r="I129" s="16" t="str">
        <f t="shared" si="42"/>
        <v/>
      </c>
      <c r="J129" s="17" t="str">
        <f t="shared" si="43"/>
        <v/>
      </c>
      <c r="K129" s="10"/>
    </row>
    <row r="130" spans="1:11" ht="19.5" customHeight="1">
      <c r="A130" s="2" t="s">
        <v>253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9.5" customHeight="1">
      <c r="A131" s="9">
        <v>116</v>
      </c>
      <c r="B131" s="9" t="s">
        <v>254</v>
      </c>
      <c r="C131" s="10" t="s">
        <v>255</v>
      </c>
      <c r="D131" s="11">
        <v>172</v>
      </c>
      <c r="E131" s="12"/>
      <c r="F131" s="13" t="str">
        <f t="shared" ref="F131:F140" si="44">IF(AND(ISNUMBER(D131), ISNUMBER(E131), D131&gt;0), E131/((D131/100)^2), "")</f>
        <v/>
      </c>
      <c r="G131" s="14" t="str">
        <f t="shared" ref="G131:G140" si="45">IF(F131="","",IF(F131&lt;18.5,"ผอมเกินไป",IF(F131&lt;23,"สมส่วน (ปกติ)",IF(F131&lt;25,"น้ำหนักเกิน (ท้วม)",IF(F131&lt;30,"อ้วนระดับ 1","อ้วนระดับ 2 (อ้วนมาก)")))))</f>
        <v/>
      </c>
      <c r="H131" s="15"/>
      <c r="I131" s="16" t="str">
        <f t="shared" ref="I131:I140" si="46">IF(AND(ISNUMBER(D131), ISNUMBER(H131), D131&gt;0), H131/((D131/100)^2), "")</f>
        <v/>
      </c>
      <c r="J131" s="17" t="str">
        <f t="shared" ref="J131:J140" si="47">IF(I131="","",IF(I131&lt;18.5,"ผอมเกินไป",IF(I131&lt;23,"สมส่วน (ปกติ)",IF(I131&lt;25,"น้ำหนักเกิน (ท้วม)",IF(I131&lt;30,"อ้วนระดับ 1","อ้วนระดับ 2 (อ้วนมาก)")))))</f>
        <v/>
      </c>
      <c r="K131" s="10"/>
    </row>
    <row r="132" spans="1:11" ht="19.5" customHeight="1">
      <c r="A132" s="9">
        <v>117</v>
      </c>
      <c r="B132" s="9" t="s">
        <v>256</v>
      </c>
      <c r="C132" s="10" t="s">
        <v>257</v>
      </c>
      <c r="D132" s="11">
        <v>173</v>
      </c>
      <c r="E132" s="12"/>
      <c r="F132" s="13" t="str">
        <f t="shared" si="44"/>
        <v/>
      </c>
      <c r="G132" s="14" t="str">
        <f t="shared" si="45"/>
        <v/>
      </c>
      <c r="H132" s="15"/>
      <c r="I132" s="16" t="str">
        <f t="shared" si="46"/>
        <v/>
      </c>
      <c r="J132" s="17" t="str">
        <f t="shared" si="47"/>
        <v/>
      </c>
      <c r="K132" s="10"/>
    </row>
    <row r="133" spans="1:11" ht="19.5" customHeight="1">
      <c r="A133" s="9">
        <v>118</v>
      </c>
      <c r="B133" s="9" t="s">
        <v>258</v>
      </c>
      <c r="C133" s="10" t="s">
        <v>259</v>
      </c>
      <c r="D133" s="11">
        <v>171</v>
      </c>
      <c r="E133" s="12"/>
      <c r="F133" s="13" t="str">
        <f t="shared" si="44"/>
        <v/>
      </c>
      <c r="G133" s="14" t="str">
        <f t="shared" si="45"/>
        <v/>
      </c>
      <c r="H133" s="15"/>
      <c r="I133" s="16" t="str">
        <f t="shared" si="46"/>
        <v/>
      </c>
      <c r="J133" s="17" t="str">
        <f t="shared" si="47"/>
        <v/>
      </c>
      <c r="K133" s="10"/>
    </row>
    <row r="134" spans="1:11" ht="19.5" customHeight="1">
      <c r="A134" s="9">
        <v>119</v>
      </c>
      <c r="B134" s="9" t="s">
        <v>260</v>
      </c>
      <c r="C134" s="10" t="s">
        <v>261</v>
      </c>
      <c r="D134" s="11">
        <v>172</v>
      </c>
      <c r="E134" s="12"/>
      <c r="F134" s="13" t="str">
        <f t="shared" si="44"/>
        <v/>
      </c>
      <c r="G134" s="14" t="str">
        <f t="shared" si="45"/>
        <v/>
      </c>
      <c r="H134" s="15"/>
      <c r="I134" s="16" t="str">
        <f t="shared" si="46"/>
        <v/>
      </c>
      <c r="J134" s="17" t="str">
        <f t="shared" si="47"/>
        <v/>
      </c>
      <c r="K134" s="10"/>
    </row>
    <row r="135" spans="1:11" ht="19.5" customHeight="1">
      <c r="A135" s="9">
        <v>120</v>
      </c>
      <c r="B135" s="9" t="s">
        <v>262</v>
      </c>
      <c r="C135" s="10" t="s">
        <v>263</v>
      </c>
      <c r="D135" s="11">
        <v>173</v>
      </c>
      <c r="E135" s="12"/>
      <c r="F135" s="13" t="str">
        <f t="shared" si="44"/>
        <v/>
      </c>
      <c r="G135" s="14" t="str">
        <f t="shared" si="45"/>
        <v/>
      </c>
      <c r="H135" s="15"/>
      <c r="I135" s="16" t="str">
        <f t="shared" si="46"/>
        <v/>
      </c>
      <c r="J135" s="17" t="str">
        <f t="shared" si="47"/>
        <v/>
      </c>
      <c r="K135" s="10"/>
    </row>
    <row r="136" spans="1:11" ht="19.5" customHeight="1">
      <c r="A136" s="9">
        <v>121</v>
      </c>
      <c r="B136" s="9" t="s">
        <v>264</v>
      </c>
      <c r="C136" s="10" t="s">
        <v>265</v>
      </c>
      <c r="D136" s="11">
        <v>172</v>
      </c>
      <c r="E136" s="12"/>
      <c r="F136" s="13" t="str">
        <f t="shared" si="44"/>
        <v/>
      </c>
      <c r="G136" s="14" t="str">
        <f t="shared" si="45"/>
        <v/>
      </c>
      <c r="H136" s="15"/>
      <c r="I136" s="16" t="str">
        <f t="shared" si="46"/>
        <v/>
      </c>
      <c r="J136" s="17" t="str">
        <f t="shared" si="47"/>
        <v/>
      </c>
      <c r="K136" s="10"/>
    </row>
    <row r="137" spans="1:11" ht="19.5" customHeight="1">
      <c r="A137" s="9">
        <v>122</v>
      </c>
      <c r="B137" s="9" t="s">
        <v>266</v>
      </c>
      <c r="C137" s="10" t="s">
        <v>267</v>
      </c>
      <c r="D137" s="11">
        <v>173</v>
      </c>
      <c r="E137" s="12"/>
      <c r="F137" s="13" t="str">
        <f t="shared" si="44"/>
        <v/>
      </c>
      <c r="G137" s="14" t="str">
        <f t="shared" si="45"/>
        <v/>
      </c>
      <c r="H137" s="15"/>
      <c r="I137" s="16" t="str">
        <f t="shared" si="46"/>
        <v/>
      </c>
      <c r="J137" s="17" t="str">
        <f t="shared" si="47"/>
        <v/>
      </c>
      <c r="K137" s="10"/>
    </row>
    <row r="138" spans="1:11" ht="19.5" customHeight="1">
      <c r="A138" s="9">
        <v>123</v>
      </c>
      <c r="B138" s="9" t="s">
        <v>268</v>
      </c>
      <c r="C138" s="10" t="s">
        <v>269</v>
      </c>
      <c r="D138" s="11">
        <v>173</v>
      </c>
      <c r="E138" s="12"/>
      <c r="F138" s="13" t="str">
        <f t="shared" si="44"/>
        <v/>
      </c>
      <c r="G138" s="14" t="str">
        <f t="shared" si="45"/>
        <v/>
      </c>
      <c r="H138" s="15"/>
      <c r="I138" s="16" t="str">
        <f t="shared" si="46"/>
        <v/>
      </c>
      <c r="J138" s="17" t="str">
        <f t="shared" si="47"/>
        <v/>
      </c>
      <c r="K138" s="10"/>
    </row>
    <row r="139" spans="1:11" ht="19.5" customHeight="1">
      <c r="A139" s="9">
        <v>124</v>
      </c>
      <c r="B139" s="9" t="s">
        <v>270</v>
      </c>
      <c r="C139" s="10" t="s">
        <v>271</v>
      </c>
      <c r="D139" s="11">
        <v>172</v>
      </c>
      <c r="E139" s="12"/>
      <c r="F139" s="13" t="str">
        <f t="shared" si="44"/>
        <v/>
      </c>
      <c r="G139" s="14" t="str">
        <f t="shared" si="45"/>
        <v/>
      </c>
      <c r="H139" s="15"/>
      <c r="I139" s="16" t="str">
        <f t="shared" si="46"/>
        <v/>
      </c>
      <c r="J139" s="17" t="str">
        <f t="shared" si="47"/>
        <v/>
      </c>
      <c r="K139" s="10"/>
    </row>
    <row r="140" spans="1:11" ht="19.5" customHeight="1">
      <c r="A140" s="9">
        <v>125</v>
      </c>
      <c r="B140" s="9" t="s">
        <v>272</v>
      </c>
      <c r="C140" s="10" t="s">
        <v>273</v>
      </c>
      <c r="D140" s="11">
        <v>172</v>
      </c>
      <c r="E140" s="12"/>
      <c r="F140" s="13" t="str">
        <f t="shared" si="44"/>
        <v/>
      </c>
      <c r="G140" s="14" t="str">
        <f t="shared" si="45"/>
        <v/>
      </c>
      <c r="H140" s="15"/>
      <c r="I140" s="16" t="str">
        <f t="shared" si="46"/>
        <v/>
      </c>
      <c r="J140" s="17" t="str">
        <f t="shared" si="47"/>
        <v/>
      </c>
      <c r="K140" s="10"/>
    </row>
    <row r="141" spans="1:11" ht="19.5" customHeight="1">
      <c r="A141" s="2" t="s">
        <v>274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9.5" customHeight="1">
      <c r="A142" s="9">
        <v>126</v>
      </c>
      <c r="B142" s="9" t="s">
        <v>275</v>
      </c>
      <c r="C142" s="10" t="s">
        <v>276</v>
      </c>
      <c r="D142" s="11">
        <v>172</v>
      </c>
      <c r="E142" s="12"/>
      <c r="F142" s="13" t="str">
        <f t="shared" ref="F142:F151" si="48">IF(AND(ISNUMBER(D142), ISNUMBER(E142), D142&gt;0), E142/((D142/100)^2), "")</f>
        <v/>
      </c>
      <c r="G142" s="14" t="str">
        <f t="shared" ref="G142:G151" si="49">IF(F142="","",IF(F142&lt;18.5,"ผอมเกินไป",IF(F142&lt;23,"สมส่วน (ปกติ)",IF(F142&lt;25,"น้ำหนักเกิน (ท้วม)",IF(F142&lt;30,"อ้วนระดับ 1","อ้วนระดับ 2 (อ้วนมาก)")))))</f>
        <v/>
      </c>
      <c r="H142" s="15"/>
      <c r="I142" s="16" t="str">
        <f t="shared" ref="I142:I151" si="50">IF(AND(ISNUMBER(D142), ISNUMBER(H142), D142&gt;0), H142/((D142/100)^2), "")</f>
        <v/>
      </c>
      <c r="J142" s="17" t="str">
        <f t="shared" ref="J142:J151" si="51">IF(I142="","",IF(I142&lt;18.5,"ผอมเกินไป",IF(I142&lt;23,"สมส่วน (ปกติ)",IF(I142&lt;25,"น้ำหนักเกิน (ท้วม)",IF(I142&lt;30,"อ้วนระดับ 1","อ้วนระดับ 2 (อ้วนมาก)")))))</f>
        <v/>
      </c>
      <c r="K142" s="10"/>
    </row>
    <row r="143" spans="1:11" ht="19.5" customHeight="1">
      <c r="A143" s="9">
        <v>127</v>
      </c>
      <c r="B143" s="9" t="s">
        <v>277</v>
      </c>
      <c r="C143" s="10" t="s">
        <v>278</v>
      </c>
      <c r="D143" s="11">
        <v>172</v>
      </c>
      <c r="E143" s="12"/>
      <c r="F143" s="13" t="str">
        <f t="shared" si="48"/>
        <v/>
      </c>
      <c r="G143" s="14" t="str">
        <f t="shared" si="49"/>
        <v/>
      </c>
      <c r="H143" s="15"/>
      <c r="I143" s="16" t="str">
        <f t="shared" si="50"/>
        <v/>
      </c>
      <c r="J143" s="17" t="str">
        <f t="shared" si="51"/>
        <v/>
      </c>
      <c r="K143" s="10"/>
    </row>
    <row r="144" spans="1:11" ht="19.5" customHeight="1">
      <c r="A144" s="9">
        <v>128</v>
      </c>
      <c r="B144" s="9" t="s">
        <v>279</v>
      </c>
      <c r="C144" s="10" t="s">
        <v>280</v>
      </c>
      <c r="D144" s="11">
        <v>172</v>
      </c>
      <c r="E144" s="12"/>
      <c r="F144" s="13" t="str">
        <f t="shared" si="48"/>
        <v/>
      </c>
      <c r="G144" s="14" t="str">
        <f t="shared" si="49"/>
        <v/>
      </c>
      <c r="H144" s="15"/>
      <c r="I144" s="16" t="str">
        <f t="shared" si="50"/>
        <v/>
      </c>
      <c r="J144" s="17" t="str">
        <f t="shared" si="51"/>
        <v/>
      </c>
      <c r="K144" s="10"/>
    </row>
    <row r="145" spans="1:11" ht="19.5" customHeight="1">
      <c r="A145" s="9">
        <v>129</v>
      </c>
      <c r="B145" s="9" t="s">
        <v>281</v>
      </c>
      <c r="C145" s="10" t="s">
        <v>282</v>
      </c>
      <c r="D145" s="11">
        <v>171</v>
      </c>
      <c r="E145" s="12"/>
      <c r="F145" s="13" t="str">
        <f t="shared" si="48"/>
        <v/>
      </c>
      <c r="G145" s="14" t="str">
        <f t="shared" si="49"/>
        <v/>
      </c>
      <c r="H145" s="15"/>
      <c r="I145" s="16" t="str">
        <f t="shared" si="50"/>
        <v/>
      </c>
      <c r="J145" s="17" t="str">
        <f t="shared" si="51"/>
        <v/>
      </c>
      <c r="K145" s="10"/>
    </row>
    <row r="146" spans="1:11" ht="19.5" customHeight="1">
      <c r="A146" s="9">
        <v>130</v>
      </c>
      <c r="B146" s="9" t="s">
        <v>283</v>
      </c>
      <c r="C146" s="10" t="s">
        <v>284</v>
      </c>
      <c r="D146" s="11">
        <v>171</v>
      </c>
      <c r="E146" s="12"/>
      <c r="F146" s="13" t="str">
        <f t="shared" si="48"/>
        <v/>
      </c>
      <c r="G146" s="14" t="str">
        <f t="shared" si="49"/>
        <v/>
      </c>
      <c r="H146" s="15"/>
      <c r="I146" s="16" t="str">
        <f t="shared" si="50"/>
        <v/>
      </c>
      <c r="J146" s="17" t="str">
        <f t="shared" si="51"/>
        <v/>
      </c>
      <c r="K146" s="10"/>
    </row>
    <row r="147" spans="1:11" ht="19.5" customHeight="1">
      <c r="A147" s="9">
        <v>131</v>
      </c>
      <c r="B147" s="9" t="s">
        <v>285</v>
      </c>
      <c r="C147" s="10" t="s">
        <v>286</v>
      </c>
      <c r="D147" s="11">
        <v>171</v>
      </c>
      <c r="E147" s="12"/>
      <c r="F147" s="13" t="str">
        <f t="shared" si="48"/>
        <v/>
      </c>
      <c r="G147" s="14" t="str">
        <f t="shared" si="49"/>
        <v/>
      </c>
      <c r="H147" s="15"/>
      <c r="I147" s="16" t="str">
        <f t="shared" si="50"/>
        <v/>
      </c>
      <c r="J147" s="17" t="str">
        <f t="shared" si="51"/>
        <v/>
      </c>
      <c r="K147" s="10"/>
    </row>
    <row r="148" spans="1:11" ht="19.5" customHeight="1">
      <c r="A148" s="9">
        <v>132</v>
      </c>
      <c r="B148" s="9" t="s">
        <v>287</v>
      </c>
      <c r="C148" s="10" t="s">
        <v>288</v>
      </c>
      <c r="D148" s="11">
        <v>172</v>
      </c>
      <c r="E148" s="12"/>
      <c r="F148" s="13" t="str">
        <f t="shared" si="48"/>
        <v/>
      </c>
      <c r="G148" s="14" t="str">
        <f t="shared" si="49"/>
        <v/>
      </c>
      <c r="H148" s="15"/>
      <c r="I148" s="16" t="str">
        <f t="shared" si="50"/>
        <v/>
      </c>
      <c r="J148" s="17" t="str">
        <f t="shared" si="51"/>
        <v/>
      </c>
      <c r="K148" s="10"/>
    </row>
    <row r="149" spans="1:11" ht="19.5" customHeight="1">
      <c r="A149" s="9">
        <v>133</v>
      </c>
      <c r="B149" s="9" t="s">
        <v>289</v>
      </c>
      <c r="C149" s="10" t="s">
        <v>290</v>
      </c>
      <c r="D149" s="11">
        <v>171</v>
      </c>
      <c r="E149" s="12"/>
      <c r="F149" s="13" t="str">
        <f t="shared" si="48"/>
        <v/>
      </c>
      <c r="G149" s="14" t="str">
        <f t="shared" si="49"/>
        <v/>
      </c>
      <c r="H149" s="15"/>
      <c r="I149" s="16" t="str">
        <f t="shared" si="50"/>
        <v/>
      </c>
      <c r="J149" s="17" t="str">
        <f t="shared" si="51"/>
        <v/>
      </c>
      <c r="K149" s="10"/>
    </row>
    <row r="150" spans="1:11" ht="19.5" customHeight="1">
      <c r="A150" s="9">
        <v>134</v>
      </c>
      <c r="B150" s="9" t="s">
        <v>291</v>
      </c>
      <c r="C150" s="10" t="s">
        <v>292</v>
      </c>
      <c r="D150" s="11">
        <v>171</v>
      </c>
      <c r="E150" s="12"/>
      <c r="F150" s="13" t="str">
        <f t="shared" si="48"/>
        <v/>
      </c>
      <c r="G150" s="14" t="str">
        <f t="shared" si="49"/>
        <v/>
      </c>
      <c r="H150" s="15"/>
      <c r="I150" s="16" t="str">
        <f t="shared" si="50"/>
        <v/>
      </c>
      <c r="J150" s="17" t="str">
        <f t="shared" si="51"/>
        <v/>
      </c>
      <c r="K150" s="10"/>
    </row>
    <row r="151" spans="1:11" ht="19.5" customHeight="1">
      <c r="A151" s="9">
        <v>135</v>
      </c>
      <c r="B151" s="9" t="s">
        <v>293</v>
      </c>
      <c r="C151" s="10" t="s">
        <v>294</v>
      </c>
      <c r="D151" s="11">
        <v>171</v>
      </c>
      <c r="E151" s="12"/>
      <c r="F151" s="13" t="str">
        <f t="shared" si="48"/>
        <v/>
      </c>
      <c r="G151" s="14" t="str">
        <f t="shared" si="49"/>
        <v/>
      </c>
      <c r="H151" s="15"/>
      <c r="I151" s="16" t="str">
        <f t="shared" si="50"/>
        <v/>
      </c>
      <c r="J151" s="17" t="str">
        <f t="shared" si="51"/>
        <v/>
      </c>
      <c r="K151" s="10"/>
    </row>
    <row r="152" spans="1:11" ht="19.5" customHeight="1">
      <c r="A152" s="2" t="s">
        <v>295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9.5" customHeight="1">
      <c r="A153" s="9">
        <v>136</v>
      </c>
      <c r="B153" s="9" t="s">
        <v>296</v>
      </c>
      <c r="C153" s="10" t="s">
        <v>297</v>
      </c>
      <c r="D153" s="11">
        <v>171</v>
      </c>
      <c r="E153" s="12"/>
      <c r="F153" s="13" t="str">
        <f t="shared" ref="F153:F162" si="52">IF(AND(ISNUMBER(D153), ISNUMBER(E153), D153&gt;0), E153/((D153/100)^2), "")</f>
        <v/>
      </c>
      <c r="G153" s="14" t="str">
        <f t="shared" ref="G153:G162" si="53">IF(F153="","",IF(F153&lt;18.5,"ผอมเกินไป",IF(F153&lt;23,"สมส่วน (ปกติ)",IF(F153&lt;25,"น้ำหนักเกิน (ท้วม)",IF(F153&lt;30,"อ้วนระดับ 1","อ้วนระดับ 2 (อ้วนมาก)")))))</f>
        <v/>
      </c>
      <c r="H153" s="15"/>
      <c r="I153" s="16" t="str">
        <f t="shared" ref="I153:I162" si="54">IF(AND(ISNUMBER(D153), ISNUMBER(H153), D153&gt;0), H153/((D153/100)^2), "")</f>
        <v/>
      </c>
      <c r="J153" s="17" t="str">
        <f t="shared" ref="J153:J162" si="55">IF(I153="","",IF(I153&lt;18.5,"ผอมเกินไป",IF(I153&lt;23,"สมส่วน (ปกติ)",IF(I153&lt;25,"น้ำหนักเกิน (ท้วม)",IF(I153&lt;30,"อ้วนระดับ 1","อ้วนระดับ 2 (อ้วนมาก)")))))</f>
        <v/>
      </c>
      <c r="K153" s="10"/>
    </row>
    <row r="154" spans="1:11" ht="19.5" customHeight="1">
      <c r="A154" s="9">
        <v>137</v>
      </c>
      <c r="B154" s="9" t="s">
        <v>298</v>
      </c>
      <c r="C154" s="10" t="s">
        <v>299</v>
      </c>
      <c r="D154" s="11">
        <v>172</v>
      </c>
      <c r="E154" s="12"/>
      <c r="F154" s="13" t="str">
        <f t="shared" si="52"/>
        <v/>
      </c>
      <c r="G154" s="14" t="str">
        <f t="shared" si="53"/>
        <v/>
      </c>
      <c r="H154" s="15"/>
      <c r="I154" s="16" t="str">
        <f t="shared" si="54"/>
        <v/>
      </c>
      <c r="J154" s="17" t="str">
        <f t="shared" si="55"/>
        <v/>
      </c>
      <c r="K154" s="10"/>
    </row>
    <row r="155" spans="1:11" ht="19.5" customHeight="1">
      <c r="A155" s="9">
        <v>138</v>
      </c>
      <c r="B155" s="9" t="s">
        <v>300</v>
      </c>
      <c r="C155" s="10" t="s">
        <v>301</v>
      </c>
      <c r="D155" s="11">
        <v>170</v>
      </c>
      <c r="E155" s="12"/>
      <c r="F155" s="13" t="str">
        <f t="shared" si="52"/>
        <v/>
      </c>
      <c r="G155" s="14" t="str">
        <f t="shared" si="53"/>
        <v/>
      </c>
      <c r="H155" s="15"/>
      <c r="I155" s="16" t="str">
        <f t="shared" si="54"/>
        <v/>
      </c>
      <c r="J155" s="17" t="str">
        <f t="shared" si="55"/>
        <v/>
      </c>
      <c r="K155" s="10"/>
    </row>
    <row r="156" spans="1:11" ht="19.5" customHeight="1">
      <c r="A156" s="9">
        <v>139</v>
      </c>
      <c r="B156" s="9" t="s">
        <v>302</v>
      </c>
      <c r="C156" s="10" t="s">
        <v>303</v>
      </c>
      <c r="D156" s="11">
        <v>171</v>
      </c>
      <c r="E156" s="12"/>
      <c r="F156" s="13" t="str">
        <f t="shared" si="52"/>
        <v/>
      </c>
      <c r="G156" s="14" t="str">
        <f t="shared" si="53"/>
        <v/>
      </c>
      <c r="H156" s="15"/>
      <c r="I156" s="16" t="str">
        <f t="shared" si="54"/>
        <v/>
      </c>
      <c r="J156" s="17" t="str">
        <f t="shared" si="55"/>
        <v/>
      </c>
      <c r="K156" s="10"/>
    </row>
    <row r="157" spans="1:11" ht="19.5" customHeight="1">
      <c r="A157" s="9">
        <v>140</v>
      </c>
      <c r="B157" s="9" t="s">
        <v>304</v>
      </c>
      <c r="C157" s="10" t="s">
        <v>305</v>
      </c>
      <c r="D157" s="11">
        <v>170</v>
      </c>
      <c r="E157" s="12"/>
      <c r="F157" s="13" t="str">
        <f t="shared" si="52"/>
        <v/>
      </c>
      <c r="G157" s="14" t="str">
        <f t="shared" si="53"/>
        <v/>
      </c>
      <c r="H157" s="15"/>
      <c r="I157" s="16" t="str">
        <f t="shared" si="54"/>
        <v/>
      </c>
      <c r="J157" s="17" t="str">
        <f t="shared" si="55"/>
        <v/>
      </c>
      <c r="K157" s="10"/>
    </row>
    <row r="158" spans="1:11" ht="19.5" customHeight="1">
      <c r="A158" s="9">
        <v>141</v>
      </c>
      <c r="B158" s="9" t="s">
        <v>306</v>
      </c>
      <c r="C158" s="10" t="s">
        <v>307</v>
      </c>
      <c r="D158" s="11">
        <v>170</v>
      </c>
      <c r="E158" s="12"/>
      <c r="F158" s="13" t="str">
        <f t="shared" si="52"/>
        <v/>
      </c>
      <c r="G158" s="14" t="str">
        <f t="shared" si="53"/>
        <v/>
      </c>
      <c r="H158" s="15"/>
      <c r="I158" s="16" t="str">
        <f t="shared" si="54"/>
        <v/>
      </c>
      <c r="J158" s="17" t="str">
        <f t="shared" si="55"/>
        <v/>
      </c>
      <c r="K158" s="10"/>
    </row>
    <row r="159" spans="1:11" ht="19.5" customHeight="1">
      <c r="A159" s="9">
        <v>142</v>
      </c>
      <c r="B159" s="9" t="s">
        <v>308</v>
      </c>
      <c r="C159" s="10" t="s">
        <v>309</v>
      </c>
      <c r="D159" s="11">
        <v>171</v>
      </c>
      <c r="E159" s="12"/>
      <c r="F159" s="13" t="str">
        <f t="shared" si="52"/>
        <v/>
      </c>
      <c r="G159" s="14" t="str">
        <f t="shared" si="53"/>
        <v/>
      </c>
      <c r="H159" s="15"/>
      <c r="I159" s="16" t="str">
        <f t="shared" si="54"/>
        <v/>
      </c>
      <c r="J159" s="17" t="str">
        <f t="shared" si="55"/>
        <v/>
      </c>
      <c r="K159" s="10"/>
    </row>
    <row r="160" spans="1:11" ht="19.5" customHeight="1">
      <c r="A160" s="9">
        <v>143</v>
      </c>
      <c r="B160" s="9" t="s">
        <v>310</v>
      </c>
      <c r="C160" s="10" t="s">
        <v>311</v>
      </c>
      <c r="D160" s="11">
        <v>171</v>
      </c>
      <c r="E160" s="12"/>
      <c r="F160" s="13" t="str">
        <f t="shared" si="52"/>
        <v/>
      </c>
      <c r="G160" s="14" t="str">
        <f t="shared" si="53"/>
        <v/>
      </c>
      <c r="H160" s="15"/>
      <c r="I160" s="16" t="str">
        <f t="shared" si="54"/>
        <v/>
      </c>
      <c r="J160" s="17" t="str">
        <f t="shared" si="55"/>
        <v/>
      </c>
      <c r="K160" s="10"/>
    </row>
    <row r="161" spans="1:11" ht="19.5" customHeight="1">
      <c r="A161" s="9">
        <v>144</v>
      </c>
      <c r="B161" s="9" t="s">
        <v>312</v>
      </c>
      <c r="C161" s="10" t="s">
        <v>313</v>
      </c>
      <c r="D161" s="11">
        <v>170</v>
      </c>
      <c r="E161" s="12"/>
      <c r="F161" s="13" t="str">
        <f t="shared" si="52"/>
        <v/>
      </c>
      <c r="G161" s="14" t="str">
        <f t="shared" si="53"/>
        <v/>
      </c>
      <c r="H161" s="15"/>
      <c r="I161" s="16" t="str">
        <f t="shared" si="54"/>
        <v/>
      </c>
      <c r="J161" s="17" t="str">
        <f t="shared" si="55"/>
        <v/>
      </c>
      <c r="K161" s="10"/>
    </row>
    <row r="162" spans="1:11" ht="19.5" customHeight="1">
      <c r="A162" s="9">
        <v>145</v>
      </c>
      <c r="B162" s="9" t="s">
        <v>314</v>
      </c>
      <c r="C162" s="10" t="s">
        <v>315</v>
      </c>
      <c r="D162" s="11">
        <v>171</v>
      </c>
      <c r="E162" s="12"/>
      <c r="F162" s="13" t="str">
        <f t="shared" si="52"/>
        <v/>
      </c>
      <c r="G162" s="14" t="str">
        <f t="shared" si="53"/>
        <v/>
      </c>
      <c r="H162" s="15"/>
      <c r="I162" s="16" t="str">
        <f t="shared" si="54"/>
        <v/>
      </c>
      <c r="J162" s="17" t="str">
        <f t="shared" si="55"/>
        <v/>
      </c>
      <c r="K162" s="10"/>
    </row>
    <row r="163" spans="1:11" ht="19.5" customHeight="1">
      <c r="A163" s="2" t="s">
        <v>316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9.5" customHeight="1">
      <c r="A164" s="9">
        <v>146</v>
      </c>
      <c r="B164" s="9" t="s">
        <v>317</v>
      </c>
      <c r="C164" s="10" t="s">
        <v>318</v>
      </c>
      <c r="D164" s="11">
        <v>170</v>
      </c>
      <c r="E164" s="12"/>
      <c r="F164" s="13" t="str">
        <f t="shared" ref="F164:F174" si="56">IF(AND(ISNUMBER(D164), ISNUMBER(E164), D164&gt;0), E164/((D164/100)^2), "")</f>
        <v/>
      </c>
      <c r="G164" s="14" t="str">
        <f t="shared" ref="G164:G174" si="57">IF(F164="","",IF(F164&lt;18.5,"ผอมเกินไป",IF(F164&lt;23,"สมส่วน (ปกติ)",IF(F164&lt;25,"น้ำหนักเกิน (ท้วม)",IF(F164&lt;30,"อ้วนระดับ 1","อ้วนระดับ 2 (อ้วนมาก)")))))</f>
        <v/>
      </c>
      <c r="H164" s="15"/>
      <c r="I164" s="16" t="str">
        <f t="shared" ref="I164:I174" si="58">IF(AND(ISNUMBER(D164), ISNUMBER(H164), D164&gt;0), H164/((D164/100)^2), "")</f>
        <v/>
      </c>
      <c r="J164" s="17" t="str">
        <f t="shared" ref="J164:J174" si="59">IF(I164="","",IF(I164&lt;18.5,"ผอมเกินไป",IF(I164&lt;23,"สมส่วน (ปกติ)",IF(I164&lt;25,"น้ำหนักเกิน (ท้วม)",IF(I164&lt;30,"อ้วนระดับ 1","อ้วนระดับ 2 (อ้วนมาก)")))))</f>
        <v/>
      </c>
      <c r="K164" s="10"/>
    </row>
    <row r="165" spans="1:11" ht="19.5" customHeight="1">
      <c r="A165" s="9">
        <v>147</v>
      </c>
      <c r="B165" s="9" t="s">
        <v>319</v>
      </c>
      <c r="C165" s="10" t="s">
        <v>320</v>
      </c>
      <c r="D165" s="11">
        <v>170</v>
      </c>
      <c r="E165" s="12"/>
      <c r="F165" s="13" t="str">
        <f t="shared" si="56"/>
        <v/>
      </c>
      <c r="G165" s="14" t="str">
        <f t="shared" si="57"/>
        <v/>
      </c>
      <c r="H165" s="15"/>
      <c r="I165" s="16" t="str">
        <f t="shared" si="58"/>
        <v/>
      </c>
      <c r="J165" s="17" t="str">
        <f t="shared" si="59"/>
        <v/>
      </c>
      <c r="K165" s="10"/>
    </row>
    <row r="166" spans="1:11" ht="19.5" customHeight="1">
      <c r="A166" s="9">
        <v>148</v>
      </c>
      <c r="B166" s="9" t="s">
        <v>321</v>
      </c>
      <c r="C166" s="10" t="s">
        <v>322</v>
      </c>
      <c r="D166" s="11">
        <v>170</v>
      </c>
      <c r="E166" s="12"/>
      <c r="F166" s="13" t="str">
        <f t="shared" si="56"/>
        <v/>
      </c>
      <c r="G166" s="14" t="str">
        <f t="shared" si="57"/>
        <v/>
      </c>
      <c r="H166" s="15"/>
      <c r="I166" s="16" t="str">
        <f t="shared" si="58"/>
        <v/>
      </c>
      <c r="J166" s="17" t="str">
        <f t="shared" si="59"/>
        <v/>
      </c>
      <c r="K166" s="10"/>
    </row>
    <row r="167" spans="1:11" ht="19.5" customHeight="1">
      <c r="A167" s="9">
        <v>149</v>
      </c>
      <c r="B167" s="9" t="s">
        <v>323</v>
      </c>
      <c r="C167" s="10" t="s">
        <v>324</v>
      </c>
      <c r="D167" s="11">
        <v>170</v>
      </c>
      <c r="E167" s="12"/>
      <c r="F167" s="13" t="str">
        <f t="shared" si="56"/>
        <v/>
      </c>
      <c r="G167" s="14" t="str">
        <f t="shared" si="57"/>
        <v/>
      </c>
      <c r="H167" s="15"/>
      <c r="I167" s="16" t="str">
        <f t="shared" si="58"/>
        <v/>
      </c>
      <c r="J167" s="17" t="str">
        <f t="shared" si="59"/>
        <v/>
      </c>
      <c r="K167" s="10"/>
    </row>
    <row r="168" spans="1:11" ht="19.5" customHeight="1">
      <c r="A168" s="9">
        <v>150</v>
      </c>
      <c r="B168" s="9" t="s">
        <v>325</v>
      </c>
      <c r="C168" s="10" t="s">
        <v>326</v>
      </c>
      <c r="D168" s="11">
        <v>170</v>
      </c>
      <c r="E168" s="12"/>
      <c r="F168" s="13" t="str">
        <f t="shared" si="56"/>
        <v/>
      </c>
      <c r="G168" s="14" t="str">
        <f t="shared" si="57"/>
        <v/>
      </c>
      <c r="H168" s="15"/>
      <c r="I168" s="16" t="str">
        <f t="shared" si="58"/>
        <v/>
      </c>
      <c r="J168" s="17" t="str">
        <f t="shared" si="59"/>
        <v/>
      </c>
      <c r="K168" s="10"/>
    </row>
    <row r="169" spans="1:11" ht="19.5" customHeight="1">
      <c r="A169" s="9">
        <v>151</v>
      </c>
      <c r="B169" s="9" t="s">
        <v>327</v>
      </c>
      <c r="C169" s="10" t="s">
        <v>328</v>
      </c>
      <c r="D169" s="11">
        <v>170</v>
      </c>
      <c r="E169" s="12"/>
      <c r="F169" s="13" t="str">
        <f t="shared" si="56"/>
        <v/>
      </c>
      <c r="G169" s="14" t="str">
        <f t="shared" si="57"/>
        <v/>
      </c>
      <c r="H169" s="15"/>
      <c r="I169" s="16" t="str">
        <f t="shared" si="58"/>
        <v/>
      </c>
      <c r="J169" s="17" t="str">
        <f t="shared" si="59"/>
        <v/>
      </c>
      <c r="K169" s="10"/>
    </row>
    <row r="170" spans="1:11" ht="19.5" customHeight="1">
      <c r="A170" s="9">
        <v>152</v>
      </c>
      <c r="B170" s="9" t="s">
        <v>329</v>
      </c>
      <c r="C170" s="10" t="s">
        <v>330</v>
      </c>
      <c r="D170" s="11">
        <v>170</v>
      </c>
      <c r="E170" s="12"/>
      <c r="F170" s="13" t="str">
        <f t="shared" si="56"/>
        <v/>
      </c>
      <c r="G170" s="14" t="str">
        <f t="shared" si="57"/>
        <v/>
      </c>
      <c r="H170" s="15"/>
      <c r="I170" s="16" t="str">
        <f t="shared" si="58"/>
        <v/>
      </c>
      <c r="J170" s="17" t="str">
        <f t="shared" si="59"/>
        <v/>
      </c>
      <c r="K170" s="10"/>
    </row>
    <row r="171" spans="1:11" ht="19.5" customHeight="1">
      <c r="A171" s="9">
        <v>153</v>
      </c>
      <c r="B171" s="9" t="s">
        <v>331</v>
      </c>
      <c r="C171" s="10" t="s">
        <v>332</v>
      </c>
      <c r="D171" s="11">
        <v>170</v>
      </c>
      <c r="E171" s="12"/>
      <c r="F171" s="13" t="str">
        <f t="shared" si="56"/>
        <v/>
      </c>
      <c r="G171" s="14" t="str">
        <f t="shared" si="57"/>
        <v/>
      </c>
      <c r="H171" s="15"/>
      <c r="I171" s="16" t="str">
        <f t="shared" si="58"/>
        <v/>
      </c>
      <c r="J171" s="17" t="str">
        <f t="shared" si="59"/>
        <v/>
      </c>
      <c r="K171" s="10"/>
    </row>
    <row r="172" spans="1:11" ht="19.5" customHeight="1">
      <c r="A172" s="9">
        <v>154</v>
      </c>
      <c r="B172" s="9" t="s">
        <v>333</v>
      </c>
      <c r="C172" s="10" t="s">
        <v>334</v>
      </c>
      <c r="D172" s="11">
        <v>170</v>
      </c>
      <c r="E172" s="12"/>
      <c r="F172" s="13" t="str">
        <f t="shared" si="56"/>
        <v/>
      </c>
      <c r="G172" s="14" t="str">
        <f t="shared" si="57"/>
        <v/>
      </c>
      <c r="H172" s="15"/>
      <c r="I172" s="16" t="str">
        <f t="shared" si="58"/>
        <v/>
      </c>
      <c r="J172" s="17" t="str">
        <f t="shared" si="59"/>
        <v/>
      </c>
      <c r="K172" s="10"/>
    </row>
    <row r="173" spans="1:11" ht="19.5" customHeight="1">
      <c r="A173" s="9">
        <v>155</v>
      </c>
      <c r="B173" s="9" t="s">
        <v>335</v>
      </c>
      <c r="C173" s="10" t="s">
        <v>336</v>
      </c>
      <c r="D173" s="11">
        <v>170</v>
      </c>
      <c r="E173" s="12"/>
      <c r="F173" s="13" t="str">
        <f t="shared" si="56"/>
        <v/>
      </c>
      <c r="G173" s="14" t="str">
        <f t="shared" si="57"/>
        <v/>
      </c>
      <c r="H173" s="15"/>
      <c r="I173" s="16" t="str">
        <f t="shared" si="58"/>
        <v/>
      </c>
      <c r="J173" s="17" t="str">
        <f t="shared" si="59"/>
        <v/>
      </c>
      <c r="K173" s="10"/>
    </row>
    <row r="174" spans="1:11" ht="19.5" customHeight="1">
      <c r="A174" s="9">
        <v>156</v>
      </c>
      <c r="B174" s="9" t="s">
        <v>337</v>
      </c>
      <c r="C174" s="10" t="s">
        <v>338</v>
      </c>
      <c r="D174" s="11">
        <v>170</v>
      </c>
      <c r="E174" s="12"/>
      <c r="F174" s="13" t="str">
        <f t="shared" si="56"/>
        <v/>
      </c>
      <c r="G174" s="14" t="str">
        <f t="shared" si="57"/>
        <v/>
      </c>
      <c r="H174" s="15"/>
      <c r="I174" s="16" t="str">
        <f t="shared" si="58"/>
        <v/>
      </c>
      <c r="J174" s="17" t="str">
        <f t="shared" si="59"/>
        <v/>
      </c>
      <c r="K174" s="10"/>
    </row>
    <row r="175" spans="1:11" ht="19.5" customHeight="1">
      <c r="A175" s="2" t="s">
        <v>339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9.5" customHeight="1">
      <c r="A176" s="9">
        <v>157</v>
      </c>
      <c r="B176" s="9" t="s">
        <v>340</v>
      </c>
      <c r="C176" s="10" t="s">
        <v>341</v>
      </c>
      <c r="D176" s="11">
        <v>168</v>
      </c>
      <c r="E176" s="12"/>
      <c r="F176" s="13" t="str">
        <f t="shared" ref="F176:F186" si="60">IF(AND(ISNUMBER(D176), ISNUMBER(E176), D176&gt;0), E176/((D176/100)^2), "")</f>
        <v/>
      </c>
      <c r="G176" s="14" t="str">
        <f t="shared" ref="G176:G186" si="61">IF(F176="","",IF(F176&lt;18.5,"ผอมเกินไป",IF(F176&lt;23,"สมส่วน (ปกติ)",IF(F176&lt;25,"น้ำหนักเกิน (ท้วม)",IF(F176&lt;30,"อ้วนระดับ 1","อ้วนระดับ 2 (อ้วนมาก)")))))</f>
        <v/>
      </c>
      <c r="H176" s="15"/>
      <c r="I176" s="16" t="str">
        <f t="shared" ref="I176:I186" si="62">IF(AND(ISNUMBER(D176), ISNUMBER(H176), D176&gt;0), H176/((D176/100)^2), "")</f>
        <v/>
      </c>
      <c r="J176" s="17" t="str">
        <f t="shared" ref="J176:J186" si="63">IF(I176="","",IF(I176&lt;18.5,"ผอมเกินไป",IF(I176&lt;23,"สมส่วน (ปกติ)",IF(I176&lt;25,"น้ำหนักเกิน (ท้วม)",IF(I176&lt;30,"อ้วนระดับ 1","อ้วนระดับ 2 (อ้วนมาก)")))))</f>
        <v/>
      </c>
      <c r="K176" s="10"/>
    </row>
    <row r="177" spans="1:11" ht="19.5" customHeight="1">
      <c r="A177" s="9">
        <v>158</v>
      </c>
      <c r="B177" s="9" t="s">
        <v>342</v>
      </c>
      <c r="C177" s="10" t="s">
        <v>343</v>
      </c>
      <c r="D177" s="11">
        <v>168</v>
      </c>
      <c r="E177" s="12"/>
      <c r="F177" s="13" t="str">
        <f t="shared" si="60"/>
        <v/>
      </c>
      <c r="G177" s="14" t="str">
        <f t="shared" si="61"/>
        <v/>
      </c>
      <c r="H177" s="15"/>
      <c r="I177" s="16" t="str">
        <f t="shared" si="62"/>
        <v/>
      </c>
      <c r="J177" s="17" t="str">
        <f t="shared" si="63"/>
        <v/>
      </c>
      <c r="K177" s="10"/>
    </row>
    <row r="178" spans="1:11" ht="19.5" customHeight="1">
      <c r="A178" s="9">
        <v>159</v>
      </c>
      <c r="B178" s="9" t="s">
        <v>344</v>
      </c>
      <c r="C178" s="10" t="s">
        <v>345</v>
      </c>
      <c r="D178" s="11">
        <v>168</v>
      </c>
      <c r="E178" s="12"/>
      <c r="F178" s="13" t="str">
        <f t="shared" si="60"/>
        <v/>
      </c>
      <c r="G178" s="14" t="str">
        <f t="shared" si="61"/>
        <v/>
      </c>
      <c r="H178" s="15"/>
      <c r="I178" s="16" t="str">
        <f t="shared" si="62"/>
        <v/>
      </c>
      <c r="J178" s="17" t="str">
        <f t="shared" si="63"/>
        <v/>
      </c>
      <c r="K178" s="10"/>
    </row>
    <row r="179" spans="1:11" ht="19.5" customHeight="1">
      <c r="A179" s="9">
        <v>160</v>
      </c>
      <c r="B179" s="9" t="s">
        <v>346</v>
      </c>
      <c r="C179" s="10" t="s">
        <v>347</v>
      </c>
      <c r="D179" s="11">
        <v>169</v>
      </c>
      <c r="E179" s="12"/>
      <c r="F179" s="13" t="str">
        <f t="shared" si="60"/>
        <v/>
      </c>
      <c r="G179" s="14" t="str">
        <f t="shared" si="61"/>
        <v/>
      </c>
      <c r="H179" s="15"/>
      <c r="I179" s="16" t="str">
        <f t="shared" si="62"/>
        <v/>
      </c>
      <c r="J179" s="17" t="str">
        <f t="shared" si="63"/>
        <v/>
      </c>
      <c r="K179" s="10"/>
    </row>
    <row r="180" spans="1:11" ht="19.5" customHeight="1">
      <c r="A180" s="9">
        <v>161</v>
      </c>
      <c r="B180" s="9" t="s">
        <v>348</v>
      </c>
      <c r="C180" s="10" t="s">
        <v>349</v>
      </c>
      <c r="D180" s="11">
        <v>167</v>
      </c>
      <c r="E180" s="12"/>
      <c r="F180" s="13" t="str">
        <f t="shared" si="60"/>
        <v/>
      </c>
      <c r="G180" s="14" t="str">
        <f t="shared" si="61"/>
        <v/>
      </c>
      <c r="H180" s="15"/>
      <c r="I180" s="16" t="str">
        <f t="shared" si="62"/>
        <v/>
      </c>
      <c r="J180" s="17" t="str">
        <f t="shared" si="63"/>
        <v/>
      </c>
      <c r="K180" s="10"/>
    </row>
    <row r="181" spans="1:11" ht="19.5" customHeight="1">
      <c r="A181" s="9">
        <v>162</v>
      </c>
      <c r="B181" s="9" t="s">
        <v>350</v>
      </c>
      <c r="C181" s="10" t="s">
        <v>351</v>
      </c>
      <c r="D181" s="11">
        <v>165</v>
      </c>
      <c r="E181" s="12"/>
      <c r="F181" s="13" t="str">
        <f t="shared" si="60"/>
        <v/>
      </c>
      <c r="G181" s="14" t="str">
        <f t="shared" si="61"/>
        <v/>
      </c>
      <c r="H181" s="15"/>
      <c r="I181" s="16" t="str">
        <f t="shared" si="62"/>
        <v/>
      </c>
      <c r="J181" s="17" t="str">
        <f t="shared" si="63"/>
        <v/>
      </c>
      <c r="K181" s="10"/>
    </row>
    <row r="182" spans="1:11" ht="19.5" customHeight="1">
      <c r="A182" s="9">
        <v>163</v>
      </c>
      <c r="B182" s="9" t="s">
        <v>352</v>
      </c>
      <c r="C182" s="10" t="s">
        <v>353</v>
      </c>
      <c r="D182" s="11">
        <v>168</v>
      </c>
      <c r="E182" s="12"/>
      <c r="F182" s="13" t="str">
        <f t="shared" si="60"/>
        <v/>
      </c>
      <c r="G182" s="14" t="str">
        <f t="shared" si="61"/>
        <v/>
      </c>
      <c r="H182" s="15"/>
      <c r="I182" s="16" t="str">
        <f t="shared" si="62"/>
        <v/>
      </c>
      <c r="J182" s="17" t="str">
        <f t="shared" si="63"/>
        <v/>
      </c>
      <c r="K182" s="10"/>
    </row>
    <row r="183" spans="1:11" ht="19.5" customHeight="1">
      <c r="A183" s="9">
        <v>164</v>
      </c>
      <c r="B183" s="9" t="s">
        <v>354</v>
      </c>
      <c r="C183" s="10" t="s">
        <v>355</v>
      </c>
      <c r="D183" s="11">
        <v>167</v>
      </c>
      <c r="E183" s="12"/>
      <c r="F183" s="13" t="str">
        <f t="shared" si="60"/>
        <v/>
      </c>
      <c r="G183" s="14" t="str">
        <f t="shared" si="61"/>
        <v/>
      </c>
      <c r="H183" s="15"/>
      <c r="I183" s="16" t="str">
        <f t="shared" si="62"/>
        <v/>
      </c>
      <c r="J183" s="17" t="str">
        <f t="shared" si="63"/>
        <v/>
      </c>
      <c r="K183" s="10"/>
    </row>
    <row r="184" spans="1:11" ht="19.5" customHeight="1">
      <c r="A184" s="9">
        <v>165</v>
      </c>
      <c r="B184" s="9" t="s">
        <v>356</v>
      </c>
      <c r="C184" s="10" t="s">
        <v>357</v>
      </c>
      <c r="D184" s="11">
        <v>165</v>
      </c>
      <c r="E184" s="12"/>
      <c r="F184" s="13" t="str">
        <f t="shared" si="60"/>
        <v/>
      </c>
      <c r="G184" s="14" t="str">
        <f t="shared" si="61"/>
        <v/>
      </c>
      <c r="H184" s="15"/>
      <c r="I184" s="16" t="str">
        <f t="shared" si="62"/>
        <v/>
      </c>
      <c r="J184" s="17" t="str">
        <f t="shared" si="63"/>
        <v/>
      </c>
      <c r="K184" s="10"/>
    </row>
    <row r="185" spans="1:11" ht="19.5" customHeight="1">
      <c r="A185" s="9">
        <v>166</v>
      </c>
      <c r="B185" s="9" t="s">
        <v>358</v>
      </c>
      <c r="C185" s="10" t="s">
        <v>359</v>
      </c>
      <c r="D185" s="11">
        <v>163</v>
      </c>
      <c r="E185" s="12"/>
      <c r="F185" s="13" t="str">
        <f t="shared" si="60"/>
        <v/>
      </c>
      <c r="G185" s="14" t="str">
        <f t="shared" si="61"/>
        <v/>
      </c>
      <c r="H185" s="15"/>
      <c r="I185" s="16" t="str">
        <f t="shared" si="62"/>
        <v/>
      </c>
      <c r="J185" s="17" t="str">
        <f t="shared" si="63"/>
        <v/>
      </c>
      <c r="K185" s="10"/>
    </row>
    <row r="186" spans="1:11" ht="19.5" customHeight="1">
      <c r="A186" s="9">
        <v>167</v>
      </c>
      <c r="B186" s="9" t="s">
        <v>360</v>
      </c>
      <c r="C186" s="10" t="s">
        <v>361</v>
      </c>
      <c r="D186" s="11">
        <v>163</v>
      </c>
      <c r="E186" s="12"/>
      <c r="F186" s="13" t="str">
        <f t="shared" si="60"/>
        <v/>
      </c>
      <c r="G186" s="14" t="str">
        <f t="shared" si="61"/>
        <v/>
      </c>
      <c r="H186" s="15"/>
      <c r="I186" s="16" t="str">
        <f t="shared" si="62"/>
        <v/>
      </c>
      <c r="J186" s="17" t="str">
        <f t="shared" si="63"/>
        <v/>
      </c>
      <c r="K186" s="10"/>
    </row>
    <row r="187" spans="1:11" ht="19.5" customHeight="1">
      <c r="A187" s="2" t="s">
        <v>362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9.5" customHeight="1">
      <c r="A188" s="9">
        <v>168</v>
      </c>
      <c r="B188" s="9" t="s">
        <v>363</v>
      </c>
      <c r="C188" s="10" t="s">
        <v>364</v>
      </c>
      <c r="D188" s="11">
        <v>169</v>
      </c>
      <c r="E188" s="12"/>
      <c r="F188" s="13" t="str">
        <f t="shared" ref="F188:F197" si="64">IF(AND(ISNUMBER(D188), ISNUMBER(E188), D188&gt;0), E188/((D188/100)^2), "")</f>
        <v/>
      </c>
      <c r="G188" s="14" t="str">
        <f t="shared" ref="G188:G197" si="65">IF(F188="","",IF(F188&lt;18.5,"ผอมเกินไป",IF(F188&lt;23,"สมส่วน (ปกติ)",IF(F188&lt;25,"น้ำหนักเกิน (ท้วม)",IF(F188&lt;30,"อ้วนระดับ 1","อ้วนระดับ 2 (อ้วนมาก)")))))</f>
        <v/>
      </c>
      <c r="H188" s="15"/>
      <c r="I188" s="16" t="str">
        <f t="shared" ref="I188:I197" si="66">IF(AND(ISNUMBER(D188), ISNUMBER(H188), D188&gt;0), H188/((D188/100)^2), "")</f>
        <v/>
      </c>
      <c r="J188" s="17" t="str">
        <f t="shared" ref="J188:J197" si="67">IF(I188="","",IF(I188&lt;18.5,"ผอมเกินไป",IF(I188&lt;23,"สมส่วน (ปกติ)",IF(I188&lt;25,"น้ำหนักเกิน (ท้วม)",IF(I188&lt;30,"อ้วนระดับ 1","อ้วนระดับ 2 (อ้วนมาก)")))))</f>
        <v/>
      </c>
      <c r="K188" s="10"/>
    </row>
    <row r="189" spans="1:11" ht="19.5" customHeight="1">
      <c r="A189" s="9">
        <v>169</v>
      </c>
      <c r="B189" s="9" t="s">
        <v>365</v>
      </c>
      <c r="C189" s="10" t="s">
        <v>366</v>
      </c>
      <c r="D189" s="11">
        <v>169</v>
      </c>
      <c r="E189" s="12"/>
      <c r="F189" s="13" t="str">
        <f t="shared" si="64"/>
        <v/>
      </c>
      <c r="G189" s="14" t="str">
        <f t="shared" si="65"/>
        <v/>
      </c>
      <c r="H189" s="15"/>
      <c r="I189" s="16" t="str">
        <f t="shared" si="66"/>
        <v/>
      </c>
      <c r="J189" s="17" t="str">
        <f t="shared" si="67"/>
        <v/>
      </c>
      <c r="K189" s="10"/>
    </row>
    <row r="190" spans="1:11" ht="19.5" customHeight="1">
      <c r="A190" s="9">
        <v>170</v>
      </c>
      <c r="B190" s="9" t="s">
        <v>367</v>
      </c>
      <c r="C190" s="10" t="s">
        <v>368</v>
      </c>
      <c r="D190" s="11">
        <v>169</v>
      </c>
      <c r="E190" s="12"/>
      <c r="F190" s="13" t="str">
        <f t="shared" si="64"/>
        <v/>
      </c>
      <c r="G190" s="14" t="str">
        <f t="shared" si="65"/>
        <v/>
      </c>
      <c r="H190" s="15"/>
      <c r="I190" s="16" t="str">
        <f t="shared" si="66"/>
        <v/>
      </c>
      <c r="J190" s="17" t="str">
        <f t="shared" si="67"/>
        <v/>
      </c>
      <c r="K190" s="10"/>
    </row>
    <row r="191" spans="1:11" ht="19.5" customHeight="1">
      <c r="A191" s="9">
        <v>171</v>
      </c>
      <c r="B191" s="9" t="s">
        <v>369</v>
      </c>
      <c r="C191" s="10" t="s">
        <v>370</v>
      </c>
      <c r="D191" s="11">
        <v>168</v>
      </c>
      <c r="E191" s="12"/>
      <c r="F191" s="13" t="str">
        <f t="shared" si="64"/>
        <v/>
      </c>
      <c r="G191" s="14" t="str">
        <f t="shared" si="65"/>
        <v/>
      </c>
      <c r="H191" s="15"/>
      <c r="I191" s="16" t="str">
        <f t="shared" si="66"/>
        <v/>
      </c>
      <c r="J191" s="17" t="str">
        <f t="shared" si="67"/>
        <v/>
      </c>
      <c r="K191" s="10"/>
    </row>
    <row r="192" spans="1:11" ht="19.5" customHeight="1">
      <c r="A192" s="9">
        <v>172</v>
      </c>
      <c r="B192" s="9" t="s">
        <v>371</v>
      </c>
      <c r="C192" s="10" t="s">
        <v>372</v>
      </c>
      <c r="D192" s="11">
        <v>167</v>
      </c>
      <c r="E192" s="12"/>
      <c r="F192" s="13" t="str">
        <f t="shared" si="64"/>
        <v/>
      </c>
      <c r="G192" s="14" t="str">
        <f t="shared" si="65"/>
        <v/>
      </c>
      <c r="H192" s="15"/>
      <c r="I192" s="16" t="str">
        <f t="shared" si="66"/>
        <v/>
      </c>
      <c r="J192" s="17" t="str">
        <f t="shared" si="67"/>
        <v/>
      </c>
      <c r="K192" s="10"/>
    </row>
    <row r="193" spans="1:11" ht="19.5" customHeight="1">
      <c r="A193" s="9">
        <v>173</v>
      </c>
      <c r="B193" s="9" t="s">
        <v>373</v>
      </c>
      <c r="C193" s="10" t="s">
        <v>374</v>
      </c>
      <c r="D193" s="11">
        <v>163</v>
      </c>
      <c r="E193" s="12"/>
      <c r="F193" s="13" t="str">
        <f t="shared" si="64"/>
        <v/>
      </c>
      <c r="G193" s="14" t="str">
        <f t="shared" si="65"/>
        <v/>
      </c>
      <c r="H193" s="15"/>
      <c r="I193" s="16" t="str">
        <f t="shared" si="66"/>
        <v/>
      </c>
      <c r="J193" s="17" t="str">
        <f t="shared" si="67"/>
        <v/>
      </c>
      <c r="K193" s="10"/>
    </row>
    <row r="194" spans="1:11" ht="19.5" customHeight="1">
      <c r="A194" s="9">
        <v>174</v>
      </c>
      <c r="B194" s="9" t="s">
        <v>375</v>
      </c>
      <c r="C194" s="10" t="s">
        <v>376</v>
      </c>
      <c r="D194" s="11">
        <v>168</v>
      </c>
      <c r="E194" s="12"/>
      <c r="F194" s="13" t="str">
        <f t="shared" si="64"/>
        <v/>
      </c>
      <c r="G194" s="14" t="str">
        <f t="shared" si="65"/>
        <v/>
      </c>
      <c r="H194" s="15"/>
      <c r="I194" s="16" t="str">
        <f t="shared" si="66"/>
        <v/>
      </c>
      <c r="J194" s="17" t="str">
        <f t="shared" si="67"/>
        <v/>
      </c>
      <c r="K194" s="10"/>
    </row>
    <row r="195" spans="1:11" ht="19.5" customHeight="1">
      <c r="A195" s="9">
        <v>175</v>
      </c>
      <c r="B195" s="9" t="s">
        <v>377</v>
      </c>
      <c r="C195" s="10" t="s">
        <v>378</v>
      </c>
      <c r="D195" s="11">
        <v>165</v>
      </c>
      <c r="E195" s="12"/>
      <c r="F195" s="13" t="str">
        <f t="shared" si="64"/>
        <v/>
      </c>
      <c r="G195" s="14" t="str">
        <f t="shared" si="65"/>
        <v/>
      </c>
      <c r="H195" s="15"/>
      <c r="I195" s="16" t="str">
        <f t="shared" si="66"/>
        <v/>
      </c>
      <c r="J195" s="17" t="str">
        <f t="shared" si="67"/>
        <v/>
      </c>
      <c r="K195" s="10"/>
    </row>
    <row r="196" spans="1:11" ht="19.5" customHeight="1">
      <c r="A196" s="9">
        <v>176</v>
      </c>
      <c r="B196" s="9" t="s">
        <v>379</v>
      </c>
      <c r="C196" s="10" t="s">
        <v>380</v>
      </c>
      <c r="D196" s="11">
        <v>163</v>
      </c>
      <c r="E196" s="12"/>
      <c r="F196" s="13" t="str">
        <f t="shared" si="64"/>
        <v/>
      </c>
      <c r="G196" s="14" t="str">
        <f t="shared" si="65"/>
        <v/>
      </c>
      <c r="H196" s="15"/>
      <c r="I196" s="16" t="str">
        <f t="shared" si="66"/>
        <v/>
      </c>
      <c r="J196" s="17" t="str">
        <f t="shared" si="67"/>
        <v/>
      </c>
      <c r="K196" s="10"/>
    </row>
    <row r="197" spans="1:11" ht="19.5" customHeight="1">
      <c r="A197" s="9">
        <v>177</v>
      </c>
      <c r="B197" s="9" t="s">
        <v>381</v>
      </c>
      <c r="C197" s="10" t="s">
        <v>382</v>
      </c>
      <c r="D197" s="11">
        <v>161</v>
      </c>
      <c r="E197" s="12"/>
      <c r="F197" s="13" t="str">
        <f t="shared" si="64"/>
        <v/>
      </c>
      <c r="G197" s="14" t="str">
        <f t="shared" si="65"/>
        <v/>
      </c>
      <c r="H197" s="15"/>
      <c r="I197" s="16" t="str">
        <f t="shared" si="66"/>
        <v/>
      </c>
      <c r="J197" s="17" t="str">
        <f t="shared" si="67"/>
        <v/>
      </c>
      <c r="K197" s="10"/>
    </row>
    <row r="198" spans="1:11" ht="19.5" customHeight="1">
      <c r="A198" s="2" t="s">
        <v>383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9.5" customHeight="1">
      <c r="A199" s="9">
        <v>178</v>
      </c>
      <c r="B199" s="9" t="s">
        <v>384</v>
      </c>
      <c r="C199" s="10" t="s">
        <v>385</v>
      </c>
      <c r="D199" s="11">
        <v>169</v>
      </c>
      <c r="E199" s="12"/>
      <c r="F199" s="13" t="str">
        <f t="shared" ref="F199:F208" si="68">IF(AND(ISNUMBER(D199), ISNUMBER(E199), D199&gt;0), E199/((D199/100)^2), "")</f>
        <v/>
      </c>
      <c r="G199" s="14" t="str">
        <f t="shared" ref="G199:G208" si="69">IF(F199="","",IF(F199&lt;18.5,"ผอมเกินไป",IF(F199&lt;23,"สมส่วน (ปกติ)",IF(F199&lt;25,"น้ำหนักเกิน (ท้วม)",IF(F199&lt;30,"อ้วนระดับ 1","อ้วนระดับ 2 (อ้วนมาก)")))))</f>
        <v/>
      </c>
      <c r="H199" s="15"/>
      <c r="I199" s="16" t="str">
        <f t="shared" ref="I199:I208" si="70">IF(AND(ISNUMBER(D199), ISNUMBER(H199), D199&gt;0), H199/((D199/100)^2), "")</f>
        <v/>
      </c>
      <c r="J199" s="17" t="str">
        <f t="shared" ref="J199:J208" si="71">IF(I199="","",IF(I199&lt;18.5,"ผอมเกินไป",IF(I199&lt;23,"สมส่วน (ปกติ)",IF(I199&lt;25,"น้ำหนักเกิน (ท้วม)",IF(I199&lt;30,"อ้วนระดับ 1","อ้วนระดับ 2 (อ้วนมาก)")))))</f>
        <v/>
      </c>
      <c r="K199" s="10"/>
    </row>
    <row r="200" spans="1:11" ht="19.5" customHeight="1">
      <c r="A200" s="9">
        <v>179</v>
      </c>
      <c r="B200" s="9" t="s">
        <v>386</v>
      </c>
      <c r="C200" s="10" t="s">
        <v>387</v>
      </c>
      <c r="D200" s="11">
        <v>168</v>
      </c>
      <c r="E200" s="12"/>
      <c r="F200" s="13" t="str">
        <f t="shared" si="68"/>
        <v/>
      </c>
      <c r="G200" s="14" t="str">
        <f t="shared" si="69"/>
        <v/>
      </c>
      <c r="H200" s="15"/>
      <c r="I200" s="16" t="str">
        <f t="shared" si="70"/>
        <v/>
      </c>
      <c r="J200" s="17" t="str">
        <f t="shared" si="71"/>
        <v/>
      </c>
      <c r="K200" s="10"/>
    </row>
    <row r="201" spans="1:11" ht="19.5" customHeight="1">
      <c r="A201" s="9">
        <v>180</v>
      </c>
      <c r="B201" s="9" t="s">
        <v>388</v>
      </c>
      <c r="C201" s="10" t="s">
        <v>389</v>
      </c>
      <c r="D201" s="11">
        <v>169</v>
      </c>
      <c r="E201" s="12"/>
      <c r="F201" s="13" t="str">
        <f t="shared" si="68"/>
        <v/>
      </c>
      <c r="G201" s="14" t="str">
        <f t="shared" si="69"/>
        <v/>
      </c>
      <c r="H201" s="15"/>
      <c r="I201" s="16" t="str">
        <f t="shared" si="70"/>
        <v/>
      </c>
      <c r="J201" s="17" t="str">
        <f t="shared" si="71"/>
        <v/>
      </c>
      <c r="K201" s="10"/>
    </row>
    <row r="202" spans="1:11" ht="19.5" customHeight="1">
      <c r="A202" s="9">
        <v>181</v>
      </c>
      <c r="B202" s="9" t="s">
        <v>390</v>
      </c>
      <c r="C202" s="10" t="s">
        <v>391</v>
      </c>
      <c r="D202" s="11">
        <v>169</v>
      </c>
      <c r="E202" s="12"/>
      <c r="F202" s="13" t="str">
        <f t="shared" si="68"/>
        <v/>
      </c>
      <c r="G202" s="14" t="str">
        <f t="shared" si="69"/>
        <v/>
      </c>
      <c r="H202" s="15"/>
      <c r="I202" s="16" t="str">
        <f t="shared" si="70"/>
        <v/>
      </c>
      <c r="J202" s="17" t="str">
        <f t="shared" si="71"/>
        <v/>
      </c>
      <c r="K202" s="10"/>
    </row>
    <row r="203" spans="1:11" ht="19.5" customHeight="1">
      <c r="A203" s="9">
        <v>182</v>
      </c>
      <c r="B203" s="9" t="s">
        <v>392</v>
      </c>
      <c r="C203" s="10" t="s">
        <v>393</v>
      </c>
      <c r="D203" s="11">
        <v>166</v>
      </c>
      <c r="E203" s="12"/>
      <c r="F203" s="13" t="str">
        <f t="shared" si="68"/>
        <v/>
      </c>
      <c r="G203" s="14" t="str">
        <f t="shared" si="69"/>
        <v/>
      </c>
      <c r="H203" s="15"/>
      <c r="I203" s="16" t="str">
        <f t="shared" si="70"/>
        <v/>
      </c>
      <c r="J203" s="17" t="str">
        <f t="shared" si="71"/>
        <v/>
      </c>
      <c r="K203" s="10"/>
    </row>
    <row r="204" spans="1:11" ht="19.5" customHeight="1">
      <c r="A204" s="9">
        <v>183</v>
      </c>
      <c r="B204" s="9" t="s">
        <v>394</v>
      </c>
      <c r="C204" s="10" t="s">
        <v>395</v>
      </c>
      <c r="D204" s="11">
        <v>166</v>
      </c>
      <c r="E204" s="12"/>
      <c r="F204" s="13" t="str">
        <f t="shared" si="68"/>
        <v/>
      </c>
      <c r="G204" s="14" t="str">
        <f t="shared" si="69"/>
        <v/>
      </c>
      <c r="H204" s="15"/>
      <c r="I204" s="16" t="str">
        <f t="shared" si="70"/>
        <v/>
      </c>
      <c r="J204" s="17" t="str">
        <f t="shared" si="71"/>
        <v/>
      </c>
      <c r="K204" s="10"/>
    </row>
    <row r="205" spans="1:11" ht="19.5" customHeight="1">
      <c r="A205" s="9">
        <v>184</v>
      </c>
      <c r="B205" s="9" t="s">
        <v>396</v>
      </c>
      <c r="C205" s="10" t="s">
        <v>397</v>
      </c>
      <c r="D205" s="11">
        <v>169</v>
      </c>
      <c r="E205" s="12"/>
      <c r="F205" s="13" t="str">
        <f t="shared" si="68"/>
        <v/>
      </c>
      <c r="G205" s="14" t="str">
        <f t="shared" si="69"/>
        <v/>
      </c>
      <c r="H205" s="15"/>
      <c r="I205" s="16" t="str">
        <f t="shared" si="70"/>
        <v/>
      </c>
      <c r="J205" s="17" t="str">
        <f t="shared" si="71"/>
        <v/>
      </c>
      <c r="K205" s="10"/>
    </row>
    <row r="206" spans="1:11" ht="19.5" customHeight="1">
      <c r="A206" s="9">
        <v>185</v>
      </c>
      <c r="B206" s="9" t="s">
        <v>398</v>
      </c>
      <c r="C206" s="10" t="s">
        <v>399</v>
      </c>
      <c r="D206" s="11">
        <v>165</v>
      </c>
      <c r="E206" s="12"/>
      <c r="F206" s="13" t="str">
        <f t="shared" si="68"/>
        <v/>
      </c>
      <c r="G206" s="14" t="str">
        <f t="shared" si="69"/>
        <v/>
      </c>
      <c r="H206" s="15"/>
      <c r="I206" s="16" t="str">
        <f t="shared" si="70"/>
        <v/>
      </c>
      <c r="J206" s="17" t="str">
        <f t="shared" si="71"/>
        <v/>
      </c>
      <c r="K206" s="10"/>
    </row>
    <row r="207" spans="1:11" ht="19.5" customHeight="1">
      <c r="A207" s="9">
        <v>186</v>
      </c>
      <c r="B207" s="9" t="s">
        <v>400</v>
      </c>
      <c r="C207" s="10" t="s">
        <v>401</v>
      </c>
      <c r="D207" s="11">
        <v>165</v>
      </c>
      <c r="E207" s="12"/>
      <c r="F207" s="13" t="str">
        <f t="shared" si="68"/>
        <v/>
      </c>
      <c r="G207" s="14" t="str">
        <f t="shared" si="69"/>
        <v/>
      </c>
      <c r="H207" s="15"/>
      <c r="I207" s="16" t="str">
        <f t="shared" si="70"/>
        <v/>
      </c>
      <c r="J207" s="17" t="str">
        <f t="shared" si="71"/>
        <v/>
      </c>
      <c r="K207" s="10"/>
    </row>
    <row r="208" spans="1:11" ht="19.5" customHeight="1">
      <c r="A208" s="9">
        <v>187</v>
      </c>
      <c r="B208" s="9" t="s">
        <v>402</v>
      </c>
      <c r="C208" s="10" t="s">
        <v>403</v>
      </c>
      <c r="D208" s="11">
        <v>166</v>
      </c>
      <c r="E208" s="12"/>
      <c r="F208" s="13" t="str">
        <f t="shared" si="68"/>
        <v/>
      </c>
      <c r="G208" s="14" t="str">
        <f t="shared" si="69"/>
        <v/>
      </c>
      <c r="H208" s="15"/>
      <c r="I208" s="16" t="str">
        <f t="shared" si="70"/>
        <v/>
      </c>
      <c r="J208" s="17" t="str">
        <f t="shared" si="71"/>
        <v/>
      </c>
      <c r="K208" s="10"/>
    </row>
    <row r="209" spans="1:11" ht="19.5" customHeight="1">
      <c r="A209" s="2" t="s">
        <v>404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9.5" customHeight="1">
      <c r="A210" s="9">
        <v>188</v>
      </c>
      <c r="B210" s="9" t="s">
        <v>405</v>
      </c>
      <c r="C210" s="10" t="s">
        <v>406</v>
      </c>
      <c r="D210" s="11">
        <v>169</v>
      </c>
      <c r="E210" s="12"/>
      <c r="F210" s="13" t="str">
        <f t="shared" ref="F210:F219" si="72">IF(AND(ISNUMBER(D210), ISNUMBER(E210), D210&gt;0), E210/((D210/100)^2), "")</f>
        <v/>
      </c>
      <c r="G210" s="14" t="str">
        <f t="shared" ref="G210:G219" si="73">IF(F210="","",IF(F210&lt;18.5,"ผอมเกินไป",IF(F210&lt;23,"สมส่วน (ปกติ)",IF(F210&lt;25,"น้ำหนักเกิน (ท้วม)",IF(F210&lt;30,"อ้วนระดับ 1","อ้วนระดับ 2 (อ้วนมาก)")))))</f>
        <v/>
      </c>
      <c r="H210" s="15"/>
      <c r="I210" s="16" t="str">
        <f t="shared" ref="I210:I219" si="74">IF(AND(ISNUMBER(D210), ISNUMBER(H210), D210&gt;0), H210/((D210/100)^2), "")</f>
        <v/>
      </c>
      <c r="J210" s="17" t="str">
        <f t="shared" ref="J210:J219" si="75">IF(I210="","",IF(I210&lt;18.5,"ผอมเกินไป",IF(I210&lt;23,"สมส่วน (ปกติ)",IF(I210&lt;25,"น้ำหนักเกิน (ท้วม)",IF(I210&lt;30,"อ้วนระดับ 1","อ้วนระดับ 2 (อ้วนมาก)")))))</f>
        <v/>
      </c>
      <c r="K210" s="10"/>
    </row>
    <row r="211" spans="1:11" ht="19.5" customHeight="1">
      <c r="A211" s="9">
        <v>189</v>
      </c>
      <c r="B211" s="9" t="s">
        <v>407</v>
      </c>
      <c r="C211" s="10" t="s">
        <v>408</v>
      </c>
      <c r="D211" s="11">
        <v>169</v>
      </c>
      <c r="E211" s="12"/>
      <c r="F211" s="13" t="str">
        <f t="shared" si="72"/>
        <v/>
      </c>
      <c r="G211" s="14" t="str">
        <f t="shared" si="73"/>
        <v/>
      </c>
      <c r="H211" s="15"/>
      <c r="I211" s="16" t="str">
        <f t="shared" si="74"/>
        <v/>
      </c>
      <c r="J211" s="17" t="str">
        <f t="shared" si="75"/>
        <v/>
      </c>
      <c r="K211" s="10"/>
    </row>
    <row r="212" spans="1:11" ht="19.5" customHeight="1">
      <c r="A212" s="9">
        <v>190</v>
      </c>
      <c r="B212" s="9" t="s">
        <v>409</v>
      </c>
      <c r="C212" s="10" t="s">
        <v>410</v>
      </c>
      <c r="D212" s="11">
        <v>168</v>
      </c>
      <c r="E212" s="12"/>
      <c r="F212" s="13" t="str">
        <f t="shared" si="72"/>
        <v/>
      </c>
      <c r="G212" s="14" t="str">
        <f t="shared" si="73"/>
        <v/>
      </c>
      <c r="H212" s="15"/>
      <c r="I212" s="16" t="str">
        <f t="shared" si="74"/>
        <v/>
      </c>
      <c r="J212" s="17" t="str">
        <f t="shared" si="75"/>
        <v/>
      </c>
      <c r="K212" s="10"/>
    </row>
    <row r="213" spans="1:11" ht="19.5" customHeight="1">
      <c r="A213" s="9">
        <v>191</v>
      </c>
      <c r="B213" s="9" t="s">
        <v>411</v>
      </c>
      <c r="C213" s="10" t="s">
        <v>412</v>
      </c>
      <c r="D213" s="11">
        <v>167</v>
      </c>
      <c r="E213" s="12"/>
      <c r="F213" s="13" t="str">
        <f t="shared" si="72"/>
        <v/>
      </c>
      <c r="G213" s="14" t="str">
        <f t="shared" si="73"/>
        <v/>
      </c>
      <c r="H213" s="15"/>
      <c r="I213" s="16" t="str">
        <f t="shared" si="74"/>
        <v/>
      </c>
      <c r="J213" s="17" t="str">
        <f t="shared" si="75"/>
        <v/>
      </c>
      <c r="K213" s="10"/>
    </row>
    <row r="214" spans="1:11" ht="19.5" customHeight="1">
      <c r="A214" s="9">
        <v>192</v>
      </c>
      <c r="B214" s="9" t="s">
        <v>413</v>
      </c>
      <c r="C214" s="10" t="s">
        <v>414</v>
      </c>
      <c r="D214" s="11">
        <v>166</v>
      </c>
      <c r="E214" s="12"/>
      <c r="F214" s="13" t="str">
        <f t="shared" si="72"/>
        <v/>
      </c>
      <c r="G214" s="14" t="str">
        <f t="shared" si="73"/>
        <v/>
      </c>
      <c r="H214" s="15"/>
      <c r="I214" s="16" t="str">
        <f t="shared" si="74"/>
        <v/>
      </c>
      <c r="J214" s="17" t="str">
        <f t="shared" si="75"/>
        <v/>
      </c>
      <c r="K214" s="10"/>
    </row>
    <row r="215" spans="1:11" ht="19.5" customHeight="1">
      <c r="A215" s="9">
        <v>193</v>
      </c>
      <c r="B215" s="9" t="s">
        <v>415</v>
      </c>
      <c r="C215" s="10" t="s">
        <v>416</v>
      </c>
      <c r="D215" s="11">
        <v>165</v>
      </c>
      <c r="E215" s="12"/>
      <c r="F215" s="13" t="str">
        <f t="shared" si="72"/>
        <v/>
      </c>
      <c r="G215" s="14" t="str">
        <f t="shared" si="73"/>
        <v/>
      </c>
      <c r="H215" s="15"/>
      <c r="I215" s="16" t="str">
        <f t="shared" si="74"/>
        <v/>
      </c>
      <c r="J215" s="17" t="str">
        <f t="shared" si="75"/>
        <v/>
      </c>
      <c r="K215" s="10"/>
    </row>
    <row r="216" spans="1:11" ht="19.5" customHeight="1">
      <c r="A216" s="9">
        <v>194</v>
      </c>
      <c r="B216" s="9" t="s">
        <v>417</v>
      </c>
      <c r="C216" s="10" t="s">
        <v>418</v>
      </c>
      <c r="D216" s="11">
        <v>163</v>
      </c>
      <c r="E216" s="12"/>
      <c r="F216" s="13" t="str">
        <f t="shared" si="72"/>
        <v/>
      </c>
      <c r="G216" s="14" t="str">
        <f t="shared" si="73"/>
        <v/>
      </c>
      <c r="H216" s="15"/>
      <c r="I216" s="16" t="str">
        <f t="shared" si="74"/>
        <v/>
      </c>
      <c r="J216" s="17" t="str">
        <f t="shared" si="75"/>
        <v/>
      </c>
      <c r="K216" s="10"/>
    </row>
    <row r="217" spans="1:11" ht="19.5" customHeight="1">
      <c r="A217" s="9">
        <v>195</v>
      </c>
      <c r="B217" s="9" t="s">
        <v>419</v>
      </c>
      <c r="C217" s="10" t="s">
        <v>420</v>
      </c>
      <c r="D217" s="11">
        <v>165</v>
      </c>
      <c r="E217" s="12"/>
      <c r="F217" s="13" t="str">
        <f t="shared" si="72"/>
        <v/>
      </c>
      <c r="G217" s="14" t="str">
        <f t="shared" si="73"/>
        <v/>
      </c>
      <c r="H217" s="15"/>
      <c r="I217" s="16" t="str">
        <f t="shared" si="74"/>
        <v/>
      </c>
      <c r="J217" s="17" t="str">
        <f t="shared" si="75"/>
        <v/>
      </c>
      <c r="K217" s="10"/>
    </row>
    <row r="218" spans="1:11" ht="19.5" customHeight="1">
      <c r="A218" s="9">
        <v>196</v>
      </c>
      <c r="B218" s="9" t="s">
        <v>421</v>
      </c>
      <c r="C218" s="10" t="s">
        <v>422</v>
      </c>
      <c r="D218" s="11">
        <v>163</v>
      </c>
      <c r="E218" s="12"/>
      <c r="F218" s="13" t="str">
        <f t="shared" si="72"/>
        <v/>
      </c>
      <c r="G218" s="14" t="str">
        <f t="shared" si="73"/>
        <v/>
      </c>
      <c r="H218" s="15"/>
      <c r="I218" s="16" t="str">
        <f t="shared" si="74"/>
        <v/>
      </c>
      <c r="J218" s="17" t="str">
        <f t="shared" si="75"/>
        <v/>
      </c>
      <c r="K218" s="10"/>
    </row>
    <row r="219" spans="1:11" ht="19.5" customHeight="1">
      <c r="A219" s="9">
        <v>197</v>
      </c>
      <c r="B219" s="9" t="s">
        <v>423</v>
      </c>
      <c r="C219" s="10" t="s">
        <v>424</v>
      </c>
      <c r="D219" s="11">
        <v>169</v>
      </c>
      <c r="E219" s="12"/>
      <c r="F219" s="13" t="str">
        <f t="shared" si="72"/>
        <v/>
      </c>
      <c r="G219" s="14" t="str">
        <f t="shared" si="73"/>
        <v/>
      </c>
      <c r="H219" s="15"/>
      <c r="I219" s="16" t="str">
        <f t="shared" si="74"/>
        <v/>
      </c>
      <c r="J219" s="17" t="str">
        <f t="shared" si="75"/>
        <v/>
      </c>
      <c r="K219" s="10"/>
    </row>
    <row r="220" spans="1:11" ht="19.5" customHeight="1">
      <c r="A220" s="2" t="s">
        <v>425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9.5" customHeight="1">
      <c r="A221" s="9">
        <v>198</v>
      </c>
      <c r="B221" s="9" t="s">
        <v>426</v>
      </c>
      <c r="C221" s="10" t="s">
        <v>427</v>
      </c>
      <c r="D221" s="11">
        <v>166</v>
      </c>
      <c r="E221" s="12"/>
      <c r="F221" s="13" t="str">
        <f t="shared" ref="F221:F230" si="76">IF(AND(ISNUMBER(D221), ISNUMBER(E221), D221&gt;0), E221/((D221/100)^2), "")</f>
        <v/>
      </c>
      <c r="G221" s="14" t="str">
        <f t="shared" ref="G221:G230" si="77">IF(F221="","",IF(F221&lt;18.5,"ผอมเกินไป",IF(F221&lt;23,"สมส่วน (ปกติ)",IF(F221&lt;25,"น้ำหนักเกิน (ท้วม)",IF(F221&lt;30,"อ้วนระดับ 1","อ้วนระดับ 2 (อ้วนมาก)")))))</f>
        <v/>
      </c>
      <c r="H221" s="15"/>
      <c r="I221" s="16" t="str">
        <f t="shared" ref="I221:I230" si="78">IF(AND(ISNUMBER(D221), ISNUMBER(H221), D221&gt;0), H221/((D221/100)^2), "")</f>
        <v/>
      </c>
      <c r="J221" s="17" t="str">
        <f t="shared" ref="J221:J230" si="79">IF(I221="","",IF(I221&lt;18.5,"ผอมเกินไป",IF(I221&lt;23,"สมส่วน (ปกติ)",IF(I221&lt;25,"น้ำหนักเกิน (ท้วม)",IF(I221&lt;30,"อ้วนระดับ 1","อ้วนระดับ 2 (อ้วนมาก)")))))</f>
        <v/>
      </c>
      <c r="K221" s="10"/>
    </row>
    <row r="222" spans="1:11" ht="19.5" customHeight="1">
      <c r="A222" s="9">
        <v>199</v>
      </c>
      <c r="B222" s="9" t="s">
        <v>428</v>
      </c>
      <c r="C222" s="10" t="s">
        <v>429</v>
      </c>
      <c r="D222" s="11">
        <v>168</v>
      </c>
      <c r="E222" s="12"/>
      <c r="F222" s="13" t="str">
        <f t="shared" si="76"/>
        <v/>
      </c>
      <c r="G222" s="14" t="str">
        <f t="shared" si="77"/>
        <v/>
      </c>
      <c r="H222" s="15"/>
      <c r="I222" s="16" t="str">
        <f t="shared" si="78"/>
        <v/>
      </c>
      <c r="J222" s="17" t="str">
        <f t="shared" si="79"/>
        <v/>
      </c>
      <c r="K222" s="10"/>
    </row>
    <row r="223" spans="1:11" ht="19.5" customHeight="1">
      <c r="A223" s="9">
        <v>200</v>
      </c>
      <c r="B223" s="9" t="s">
        <v>430</v>
      </c>
      <c r="C223" s="10" t="s">
        <v>431</v>
      </c>
      <c r="D223" s="11">
        <v>167</v>
      </c>
      <c r="E223" s="12"/>
      <c r="F223" s="13" t="str">
        <f t="shared" si="76"/>
        <v/>
      </c>
      <c r="G223" s="14" t="str">
        <f t="shared" si="77"/>
        <v/>
      </c>
      <c r="H223" s="15"/>
      <c r="I223" s="16" t="str">
        <f t="shared" si="78"/>
        <v/>
      </c>
      <c r="J223" s="17" t="str">
        <f t="shared" si="79"/>
        <v/>
      </c>
      <c r="K223" s="10"/>
    </row>
    <row r="224" spans="1:11" ht="19.5" customHeight="1">
      <c r="A224" s="9">
        <v>201</v>
      </c>
      <c r="B224" s="9" t="s">
        <v>432</v>
      </c>
      <c r="C224" s="10" t="s">
        <v>433</v>
      </c>
      <c r="D224" s="11">
        <v>167</v>
      </c>
      <c r="E224" s="12"/>
      <c r="F224" s="13" t="str">
        <f t="shared" si="76"/>
        <v/>
      </c>
      <c r="G224" s="14" t="str">
        <f t="shared" si="77"/>
        <v/>
      </c>
      <c r="H224" s="15"/>
      <c r="I224" s="16" t="str">
        <f t="shared" si="78"/>
        <v/>
      </c>
      <c r="J224" s="17" t="str">
        <f t="shared" si="79"/>
        <v/>
      </c>
      <c r="K224" s="10"/>
    </row>
    <row r="225" spans="1:11" ht="19.5" customHeight="1">
      <c r="A225" s="9">
        <v>202</v>
      </c>
      <c r="B225" s="9" t="s">
        <v>434</v>
      </c>
      <c r="C225" s="10" t="s">
        <v>435</v>
      </c>
      <c r="D225" s="11">
        <v>168</v>
      </c>
      <c r="E225" s="12"/>
      <c r="F225" s="13" t="str">
        <f t="shared" si="76"/>
        <v/>
      </c>
      <c r="G225" s="14" t="str">
        <f t="shared" si="77"/>
        <v/>
      </c>
      <c r="H225" s="15"/>
      <c r="I225" s="16" t="str">
        <f t="shared" si="78"/>
        <v/>
      </c>
      <c r="J225" s="17" t="str">
        <f t="shared" si="79"/>
        <v/>
      </c>
      <c r="K225" s="10"/>
    </row>
    <row r="226" spans="1:11" ht="19.5" customHeight="1">
      <c r="A226" s="9">
        <v>203</v>
      </c>
      <c r="B226" s="9" t="s">
        <v>436</v>
      </c>
      <c r="C226" s="10" t="s">
        <v>437</v>
      </c>
      <c r="D226" s="11">
        <v>167</v>
      </c>
      <c r="E226" s="12"/>
      <c r="F226" s="13" t="str">
        <f t="shared" si="76"/>
        <v/>
      </c>
      <c r="G226" s="14" t="str">
        <f t="shared" si="77"/>
        <v/>
      </c>
      <c r="H226" s="15"/>
      <c r="I226" s="16" t="str">
        <f t="shared" si="78"/>
        <v/>
      </c>
      <c r="J226" s="17" t="str">
        <f t="shared" si="79"/>
        <v/>
      </c>
      <c r="K226" s="10"/>
    </row>
    <row r="227" spans="1:11" ht="19.5" customHeight="1">
      <c r="A227" s="9">
        <v>204</v>
      </c>
      <c r="B227" s="9" t="s">
        <v>438</v>
      </c>
      <c r="C227" s="10" t="s">
        <v>439</v>
      </c>
      <c r="D227" s="11">
        <v>167</v>
      </c>
      <c r="E227" s="12"/>
      <c r="F227" s="13" t="str">
        <f t="shared" si="76"/>
        <v/>
      </c>
      <c r="G227" s="14" t="str">
        <f t="shared" si="77"/>
        <v/>
      </c>
      <c r="H227" s="15"/>
      <c r="I227" s="16" t="str">
        <f t="shared" si="78"/>
        <v/>
      </c>
      <c r="J227" s="17" t="str">
        <f t="shared" si="79"/>
        <v/>
      </c>
      <c r="K227" s="10"/>
    </row>
    <row r="228" spans="1:11" ht="19.5" customHeight="1">
      <c r="A228" s="9">
        <v>205</v>
      </c>
      <c r="B228" s="9" t="s">
        <v>440</v>
      </c>
      <c r="C228" s="10" t="s">
        <v>441</v>
      </c>
      <c r="D228" s="11">
        <v>163</v>
      </c>
      <c r="E228" s="12"/>
      <c r="F228" s="13" t="str">
        <f t="shared" si="76"/>
        <v/>
      </c>
      <c r="G228" s="14" t="str">
        <f t="shared" si="77"/>
        <v/>
      </c>
      <c r="H228" s="15"/>
      <c r="I228" s="16" t="str">
        <f t="shared" si="78"/>
        <v/>
      </c>
      <c r="J228" s="17" t="str">
        <f t="shared" si="79"/>
        <v/>
      </c>
      <c r="K228" s="10"/>
    </row>
    <row r="229" spans="1:11" ht="19.5" customHeight="1">
      <c r="A229" s="9">
        <v>206</v>
      </c>
      <c r="B229" s="9" t="s">
        <v>442</v>
      </c>
      <c r="C229" s="10" t="s">
        <v>443</v>
      </c>
      <c r="D229" s="11">
        <v>160</v>
      </c>
      <c r="E229" s="12"/>
      <c r="F229" s="13" t="str">
        <f t="shared" si="76"/>
        <v/>
      </c>
      <c r="G229" s="14" t="str">
        <f t="shared" si="77"/>
        <v/>
      </c>
      <c r="H229" s="15"/>
      <c r="I229" s="16" t="str">
        <f t="shared" si="78"/>
        <v/>
      </c>
      <c r="J229" s="17" t="str">
        <f t="shared" si="79"/>
        <v/>
      </c>
      <c r="K229" s="10"/>
    </row>
    <row r="230" spans="1:11" ht="19.5" customHeight="1">
      <c r="A230" s="9">
        <v>207</v>
      </c>
      <c r="B230" s="9" t="s">
        <v>444</v>
      </c>
      <c r="C230" s="10" t="s">
        <v>445</v>
      </c>
      <c r="D230" s="11">
        <v>160</v>
      </c>
      <c r="E230" s="12"/>
      <c r="F230" s="13" t="str">
        <f t="shared" si="76"/>
        <v/>
      </c>
      <c r="G230" s="14" t="str">
        <f t="shared" si="77"/>
        <v/>
      </c>
      <c r="H230" s="15"/>
      <c r="I230" s="16" t="str">
        <f t="shared" si="78"/>
        <v/>
      </c>
      <c r="J230" s="17" t="str">
        <f t="shared" si="79"/>
        <v/>
      </c>
      <c r="K230" s="10"/>
    </row>
  </sheetData>
  <mergeCells count="25">
    <mergeCell ref="A220:K220"/>
    <mergeCell ref="A152:K152"/>
    <mergeCell ref="A163:K163"/>
    <mergeCell ref="A175:K175"/>
    <mergeCell ref="A187:K187"/>
    <mergeCell ref="A198:K198"/>
    <mergeCell ref="A209:K209"/>
    <mergeCell ref="D94:K94"/>
    <mergeCell ref="A95:K95"/>
    <mergeCell ref="A106:K106"/>
    <mergeCell ref="A118:K118"/>
    <mergeCell ref="A130:K130"/>
    <mergeCell ref="A141:K141"/>
    <mergeCell ref="A27:K27"/>
    <mergeCell ref="A38:K38"/>
    <mergeCell ref="A49:K49"/>
    <mergeCell ref="A61:K61"/>
    <mergeCell ref="A73:K73"/>
    <mergeCell ref="A84:K84"/>
    <mergeCell ref="A1:K1"/>
    <mergeCell ref="A2:D2"/>
    <mergeCell ref="E2:G2"/>
    <mergeCell ref="H2:J2"/>
    <mergeCell ref="A4:K4"/>
    <mergeCell ref="A16:K16"/>
  </mergeCells>
  <pageMargins left="0.31527777777777799" right="0.31527777777777799" top="0.39374999999999999" bottom="0.39374999999999999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BMI ณ วันที่ 6 และ 20 เดือน 8</vt:lpstr>
      <vt:lpstr>BMI เปล่า</vt:lpstr>
      <vt:lpstr>BMI เปล่า 2</vt:lpstr>
      <vt:lpstr>'BMI ณ วันที่ 6 และ 20 เดือน 8'!Print_Titles</vt:lpstr>
      <vt:lpstr>'BMI เปล่า'!Print_Titles</vt:lpstr>
      <vt:lpstr>'BMI เปล่า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เขาน้อย รุ่นห้าสิบเก้า</cp:lastModifiedBy>
  <cp:revision>0</cp:revision>
  <cp:lastPrinted>2026-08-20T13:07:18Z</cp:lastPrinted>
  <dcterms:created xsi:type="dcterms:W3CDTF">2026-08-06T13:18:10Z</dcterms:created>
  <dcterms:modified xsi:type="dcterms:W3CDTF">2026-08-20T13:08:18Z</dcterms:modified>
  <dc:language>en-US</dc:language>
</cp:coreProperties>
</file>